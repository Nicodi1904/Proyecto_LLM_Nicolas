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cuments\Nico_workspace\Proyecto_LLM_Nicolas\Avances_Proyecto\Informes_Inferenciador_DeepEval\"/>
    </mc:Choice>
  </mc:AlternateContent>
  <xr:revisionPtr revIDLastSave="0" documentId="13_ncr:1_{478953DC-1753-4A13-B0FA-3FA6FE065809}" xr6:coauthVersionLast="47" xr6:coauthVersionMax="47" xr10:uidLastSave="{00000000-0000-0000-0000-000000000000}"/>
  <bookViews>
    <workbookView xWindow="-120" yWindow="-120" windowWidth="20730" windowHeight="11040" firstSheet="5" activeTab="8" xr2:uid="{1E8FB384-92D1-4581-9999-09D9B279F966}"/>
  </bookViews>
  <sheets>
    <sheet name="Comparaciones" sheetId="1" r:id="rId1"/>
    <sheet name="Orden_preguntas" sheetId="12" r:id="rId2"/>
    <sheet name="qwen25_3b" sheetId="11" r:id="rId3"/>
    <sheet name="gemma_7b" sheetId="6" r:id="rId4"/>
    <sheet name="llama31_8b" sheetId="5" r:id="rId5"/>
    <sheet name="mistral_7b" sheetId="9" r:id="rId6"/>
    <sheet name="llama33_70b" sheetId="2" r:id="rId7"/>
    <sheet name="qwen3_coder_35b_480b" sheetId="3" r:id="rId8"/>
    <sheet name="deepseek_r1t2_chimera_671b" sheetId="4" r:id="rId9"/>
    <sheet name="deepseek_R1_8b" sheetId="10" r:id="rId10"/>
    <sheet name="Xiaomi_mimoV2_flash_15b_309b" sheetId="7" r:id="rId11"/>
    <sheet name="Mistral_devstral2_123b" sheetId="8" r:id="rId12"/>
  </sheets>
  <definedNames>
    <definedName name="_xlchart.v1.0" hidden="1">Mistral_devstral2_123b!$C$2:$C$51</definedName>
    <definedName name="_xlchart.v1.1" hidden="1">Xiaomi_mimoV2_flash_15b_309b!$C$2:$C$51</definedName>
    <definedName name="_xlchart.v1.2" hidden="1">deepseek_r1t2_chimera_671b!$C$2:$C$51</definedName>
    <definedName name="_xlchart.v1.3" hidden="1">llama33_70b!$C$2:$C$51</definedName>
    <definedName name="_xlchart.v1.4" hidden="1">qwen3_coder_35b_480b!$C$2:$C$51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8" l="1"/>
  <c r="A4" i="8"/>
  <c r="A3" i="8"/>
  <c r="A13" i="8"/>
  <c r="A16" i="8"/>
  <c r="A18" i="8"/>
  <c r="A20" i="8"/>
  <c r="A21" i="8"/>
  <c r="A19" i="8"/>
  <c r="A2" i="8"/>
  <c r="A14" i="8"/>
  <c r="A6" i="8"/>
  <c r="A10" i="8"/>
  <c r="A5" i="8"/>
  <c r="A8" i="8"/>
  <c r="A12" i="8"/>
  <c r="A15" i="8"/>
  <c r="A11" i="8"/>
  <c r="A17" i="8"/>
  <c r="A25" i="8"/>
  <c r="A23" i="8"/>
  <c r="A24" i="8"/>
  <c r="A27" i="8"/>
  <c r="A31" i="8"/>
  <c r="A38" i="8"/>
  <c r="A22" i="8"/>
  <c r="A35" i="8"/>
  <c r="A32" i="8"/>
  <c r="A39" i="8"/>
  <c r="A34" i="8"/>
  <c r="A29" i="8"/>
  <c r="A33" i="8"/>
  <c r="A28" i="8"/>
  <c r="A36" i="8"/>
  <c r="A26" i="8"/>
  <c r="A43" i="8"/>
  <c r="A42" i="8"/>
  <c r="A46" i="8"/>
  <c r="A45" i="8"/>
  <c r="A40" i="8"/>
  <c r="A30" i="8"/>
  <c r="A44" i="8"/>
  <c r="A51" i="8"/>
  <c r="A37" i="8"/>
  <c r="A47" i="8"/>
  <c r="A48" i="8"/>
  <c r="A50" i="8"/>
  <c r="A49" i="8"/>
  <c r="A41" i="8"/>
  <c r="A9" i="8"/>
  <c r="A17" i="7"/>
  <c r="A5" i="7"/>
  <c r="A12" i="7"/>
  <c r="A6" i="7"/>
  <c r="A3" i="7"/>
  <c r="A7" i="7"/>
  <c r="A19" i="7"/>
  <c r="A10" i="7"/>
  <c r="A20" i="7"/>
  <c r="A2" i="7"/>
  <c r="A13" i="7"/>
  <c r="A21" i="7"/>
  <c r="A8" i="7"/>
  <c r="A15" i="7"/>
  <c r="A11" i="7"/>
  <c r="A16" i="7"/>
  <c r="A9" i="7"/>
  <c r="A24" i="7"/>
  <c r="A14" i="7"/>
  <c r="A31" i="7"/>
  <c r="A26" i="7"/>
  <c r="A27" i="7"/>
  <c r="A33" i="7"/>
  <c r="A23" i="7"/>
  <c r="A29" i="7"/>
  <c r="A32" i="7"/>
  <c r="A25" i="7"/>
  <c r="A34" i="7"/>
  <c r="A22" i="7"/>
  <c r="A36" i="7"/>
  <c r="A35" i="7"/>
  <c r="A39" i="7"/>
  <c r="A18" i="7"/>
  <c r="A30" i="7"/>
  <c r="A38" i="7"/>
  <c r="A37" i="7"/>
  <c r="A44" i="7"/>
  <c r="A45" i="7"/>
  <c r="A43" i="7"/>
  <c r="A42" i="7"/>
  <c r="A40" i="7"/>
  <c r="A50" i="7"/>
  <c r="A28" i="7"/>
  <c r="A47" i="7"/>
  <c r="A51" i="7"/>
  <c r="A46" i="7"/>
  <c r="A41" i="7"/>
  <c r="A48" i="7"/>
  <c r="A49" i="7"/>
  <c r="A4" i="7"/>
  <c r="A3" i="10"/>
  <c r="A21" i="10"/>
  <c r="A15" i="10"/>
  <c r="A19" i="10"/>
  <c r="A17" i="10"/>
  <c r="A5" i="10"/>
  <c r="A8" i="10"/>
  <c r="A12" i="10"/>
  <c r="A10" i="10"/>
  <c r="A11" i="10"/>
  <c r="A13" i="10"/>
  <c r="A7" i="10"/>
  <c r="A14" i="10"/>
  <c r="A2" i="10"/>
  <c r="A4" i="10"/>
  <c r="A16" i="10"/>
  <c r="A9" i="10"/>
  <c r="A18" i="10"/>
  <c r="A20" i="10"/>
  <c r="A23" i="10"/>
  <c r="A27" i="10"/>
  <c r="A25" i="10"/>
  <c r="A32" i="10"/>
  <c r="A36" i="10"/>
  <c r="A28" i="10"/>
  <c r="A30" i="10"/>
  <c r="A31" i="10"/>
  <c r="A29" i="10"/>
  <c r="A33" i="10"/>
  <c r="A34" i="10"/>
  <c r="A24" i="10"/>
  <c r="A37" i="10"/>
  <c r="A22" i="10"/>
  <c r="A39" i="10"/>
  <c r="A41" i="10"/>
  <c r="A40" i="10"/>
  <c r="A26" i="10"/>
  <c r="A35" i="10"/>
  <c r="A43" i="10"/>
  <c r="A42" i="10"/>
  <c r="A45" i="10"/>
  <c r="A51" i="10"/>
  <c r="A38" i="10"/>
  <c r="A49" i="10"/>
  <c r="A50" i="10"/>
  <c r="A44" i="10"/>
  <c r="A46" i="10"/>
  <c r="A48" i="10"/>
  <c r="A47" i="10"/>
  <c r="A6" i="10"/>
  <c r="A8" i="4"/>
  <c r="A2" i="4"/>
  <c r="A11" i="4"/>
  <c r="A4" i="4"/>
  <c r="A16" i="4"/>
  <c r="A14" i="4"/>
  <c r="A3" i="4"/>
  <c r="A9" i="4"/>
  <c r="A13" i="4"/>
  <c r="A7" i="4"/>
  <c r="A5" i="4"/>
  <c r="A19" i="4"/>
  <c r="A6" i="4"/>
  <c r="A15" i="4"/>
  <c r="A18" i="4"/>
  <c r="A20" i="4"/>
  <c r="A17" i="4"/>
  <c r="A12" i="4"/>
  <c r="A25" i="4"/>
  <c r="A23" i="4"/>
  <c r="A31" i="4"/>
  <c r="A22" i="4"/>
  <c r="A28" i="4"/>
  <c r="A32" i="4"/>
  <c r="A26" i="4"/>
  <c r="A35" i="4"/>
  <c r="A10" i="4"/>
  <c r="A29" i="4"/>
  <c r="A33" i="4"/>
  <c r="A39" i="4"/>
  <c r="A37" i="4"/>
  <c r="A30" i="4"/>
  <c r="A38" i="4"/>
  <c r="A24" i="4"/>
  <c r="A34" i="4"/>
  <c r="A27" i="4"/>
  <c r="A36" i="4"/>
  <c r="A40" i="4"/>
  <c r="A41" i="4"/>
  <c r="A43" i="4"/>
  <c r="A46" i="4"/>
  <c r="A44" i="4"/>
  <c r="A42" i="4"/>
  <c r="A48" i="4"/>
  <c r="A45" i="4"/>
  <c r="A50" i="4"/>
  <c r="A47" i="4"/>
  <c r="A51" i="4"/>
  <c r="A49" i="4"/>
  <c r="A21" i="4"/>
  <c r="A11" i="3"/>
  <c r="A4" i="3"/>
  <c r="A6" i="3"/>
  <c r="A21" i="3"/>
  <c r="A5" i="3"/>
  <c r="A12" i="3"/>
  <c r="A7" i="3"/>
  <c r="A10" i="3"/>
  <c r="A20" i="3"/>
  <c r="A8" i="3"/>
  <c r="A16" i="3"/>
  <c r="A3" i="3"/>
  <c r="A13" i="3"/>
  <c r="A15" i="3"/>
  <c r="A2" i="3"/>
  <c r="A19" i="3"/>
  <c r="A9" i="3"/>
  <c r="A17" i="3"/>
  <c r="A18" i="3"/>
  <c r="A25" i="3"/>
  <c r="A31" i="3"/>
  <c r="A29" i="3"/>
  <c r="A24" i="3"/>
  <c r="A30" i="3"/>
  <c r="A34" i="3"/>
  <c r="A33" i="3"/>
  <c r="A27" i="3"/>
  <c r="A26" i="3"/>
  <c r="A39" i="3"/>
  <c r="A28" i="3"/>
  <c r="A32" i="3"/>
  <c r="A40" i="3"/>
  <c r="A36" i="3"/>
  <c r="A37" i="3"/>
  <c r="A35" i="3"/>
  <c r="A38" i="3"/>
  <c r="A42" i="3"/>
  <c r="A22" i="3"/>
  <c r="A41" i="3"/>
  <c r="A45" i="3"/>
  <c r="A43" i="3"/>
  <c r="A46" i="3"/>
  <c r="A44" i="3"/>
  <c r="A23" i="3"/>
  <c r="A50" i="3"/>
  <c r="A48" i="3"/>
  <c r="A51" i="3"/>
  <c r="A49" i="3"/>
  <c r="A47" i="3"/>
  <c r="A14" i="3"/>
  <c r="A16" i="2"/>
  <c r="A20" i="2"/>
  <c r="A6" i="2"/>
  <c r="A21" i="2"/>
  <c r="A10" i="2"/>
  <c r="A5" i="2"/>
  <c r="A9" i="2"/>
  <c r="A2" i="2"/>
  <c r="A11" i="2"/>
  <c r="A12" i="2"/>
  <c r="A14" i="2"/>
  <c r="A17" i="2"/>
  <c r="A13" i="2"/>
  <c r="A4" i="2"/>
  <c r="A3" i="2"/>
  <c r="A15" i="2"/>
  <c r="A19" i="2"/>
  <c r="A18" i="2"/>
  <c r="A7" i="2"/>
  <c r="A24" i="2"/>
  <c r="A33" i="2"/>
  <c r="A26" i="2"/>
  <c r="A36" i="2"/>
  <c r="A41" i="2"/>
  <c r="A37" i="2"/>
  <c r="A25" i="2"/>
  <c r="A27" i="2"/>
  <c r="A34" i="2"/>
  <c r="A28" i="2"/>
  <c r="A40" i="2"/>
  <c r="A31" i="2"/>
  <c r="A38" i="2"/>
  <c r="A32" i="2"/>
  <c r="A35" i="2"/>
  <c r="A23" i="2"/>
  <c r="A39" i="2"/>
  <c r="A22" i="2"/>
  <c r="A47" i="2"/>
  <c r="A50" i="2"/>
  <c r="A43" i="2"/>
  <c r="A44" i="2"/>
  <c r="A29" i="2"/>
  <c r="A45" i="2"/>
  <c r="A51" i="2"/>
  <c r="A42" i="2"/>
  <c r="A48" i="2"/>
  <c r="A46" i="2"/>
  <c r="A30" i="2"/>
  <c r="A49" i="2"/>
  <c r="A8" i="2"/>
  <c r="A20" i="9"/>
  <c r="A6" i="9"/>
  <c r="A3" i="9"/>
  <c r="A21" i="9"/>
  <c r="A8" i="9"/>
  <c r="A12" i="9"/>
  <c r="A2" i="9"/>
  <c r="A16" i="9"/>
  <c r="A15" i="9"/>
  <c r="A14" i="9"/>
  <c r="A4" i="9"/>
  <c r="A7" i="9"/>
  <c r="A5" i="9"/>
  <c r="A9" i="9"/>
  <c r="A19" i="9"/>
  <c r="A11" i="9"/>
  <c r="A18" i="9"/>
  <c r="A13" i="9"/>
  <c r="A10" i="9"/>
  <c r="A25" i="9"/>
  <c r="A22" i="9"/>
  <c r="A26" i="9"/>
  <c r="A27" i="9"/>
  <c r="A23" i="9"/>
  <c r="A28" i="9"/>
  <c r="A40" i="9"/>
  <c r="A24" i="9"/>
  <c r="A37" i="9"/>
  <c r="A36" i="9"/>
  <c r="A35" i="9"/>
  <c r="A32" i="9"/>
  <c r="A31" i="9"/>
  <c r="A39" i="9"/>
  <c r="A41" i="9"/>
  <c r="A34" i="9"/>
  <c r="A29" i="9"/>
  <c r="A30" i="9"/>
  <c r="A38" i="9"/>
  <c r="A33" i="9"/>
  <c r="A44" i="9"/>
  <c r="A43" i="9"/>
  <c r="A45" i="9"/>
  <c r="A49" i="9"/>
  <c r="A48" i="9"/>
  <c r="A51" i="9"/>
  <c r="A46" i="9"/>
  <c r="A47" i="9"/>
  <c r="A50" i="9"/>
  <c r="A42" i="9"/>
  <c r="A17" i="9"/>
  <c r="A13" i="5"/>
  <c r="A6" i="5"/>
  <c r="A20" i="5"/>
  <c r="A2" i="5"/>
  <c r="A16" i="5"/>
  <c r="A4" i="5"/>
  <c r="A5" i="5"/>
  <c r="A17" i="5"/>
  <c r="A12" i="5"/>
  <c r="A21" i="5"/>
  <c r="A10" i="5"/>
  <c r="A7" i="5"/>
  <c r="A8" i="5"/>
  <c r="A14" i="5"/>
  <c r="A18" i="5"/>
  <c r="A15" i="5"/>
  <c r="A9" i="5"/>
  <c r="A19" i="5"/>
  <c r="A11" i="5"/>
  <c r="A28" i="5"/>
  <c r="A24" i="5"/>
  <c r="A33" i="5"/>
  <c r="A26" i="5"/>
  <c r="A27" i="5"/>
  <c r="A34" i="5"/>
  <c r="A31" i="5"/>
  <c r="A23" i="5"/>
  <c r="A29" i="5"/>
  <c r="A35" i="5"/>
  <c r="A22" i="5"/>
  <c r="A40" i="5"/>
  <c r="A25" i="5"/>
  <c r="A36" i="5"/>
  <c r="A37" i="5"/>
  <c r="A38" i="5"/>
  <c r="A39" i="5"/>
  <c r="A32" i="5"/>
  <c r="A30" i="5"/>
  <c r="A44" i="5"/>
  <c r="A48" i="5"/>
  <c r="A43" i="5"/>
  <c r="A50" i="5"/>
  <c r="A41" i="5"/>
  <c r="A47" i="5"/>
  <c r="A45" i="5"/>
  <c r="A49" i="5"/>
  <c r="A42" i="5"/>
  <c r="A46" i="5"/>
  <c r="A51" i="5"/>
  <c r="A3" i="5"/>
  <c r="A15" i="6"/>
  <c r="A17" i="6"/>
  <c r="A9" i="6"/>
  <c r="A21" i="6"/>
  <c r="A4" i="6"/>
  <c r="A13" i="6"/>
  <c r="A7" i="6"/>
  <c r="A16" i="6"/>
  <c r="A18" i="6"/>
  <c r="A2" i="6"/>
  <c r="A6" i="6"/>
  <c r="A20" i="6"/>
  <c r="A8" i="6"/>
  <c r="A19" i="6"/>
  <c r="A3" i="6"/>
  <c r="A14" i="6"/>
  <c r="A10" i="6"/>
  <c r="A11" i="6"/>
  <c r="A5" i="6"/>
  <c r="A25" i="6"/>
  <c r="A22" i="6"/>
  <c r="A26" i="6"/>
  <c r="A28" i="6"/>
  <c r="A27" i="6"/>
  <c r="A29" i="6"/>
  <c r="A30" i="6"/>
  <c r="A39" i="6"/>
  <c r="A31" i="6"/>
  <c r="A36" i="6"/>
  <c r="A33" i="6"/>
  <c r="A23" i="6"/>
  <c r="A37" i="6"/>
  <c r="A41" i="6"/>
  <c r="A32" i="6"/>
  <c r="A38" i="6"/>
  <c r="A34" i="6"/>
  <c r="A42" i="6"/>
  <c r="A40" i="6"/>
  <c r="A24" i="6"/>
  <c r="A35" i="6"/>
  <c r="A45" i="6"/>
  <c r="A44" i="6"/>
  <c r="A47" i="6"/>
  <c r="A46" i="6"/>
  <c r="A48" i="6"/>
  <c r="A50" i="6"/>
  <c r="A51" i="6"/>
  <c r="A43" i="6"/>
  <c r="A49" i="6"/>
  <c r="A12" i="6"/>
  <c r="A8" i="11"/>
  <c r="A6" i="11"/>
  <c r="A4" i="11"/>
  <c r="A17" i="11"/>
  <c r="A5" i="11"/>
  <c r="A2" i="11"/>
  <c r="A11" i="11"/>
  <c r="A20" i="11"/>
  <c r="A3" i="11"/>
  <c r="A12" i="11"/>
  <c r="A7" i="11"/>
  <c r="A13" i="11"/>
  <c r="A9" i="11"/>
  <c r="A14" i="11"/>
  <c r="A18" i="11"/>
  <c r="A15" i="11"/>
  <c r="A21" i="11"/>
  <c r="A19" i="11"/>
  <c r="A16" i="11"/>
  <c r="A27" i="11"/>
  <c r="A23" i="11"/>
  <c r="A22" i="11"/>
  <c r="A28" i="11"/>
  <c r="A30" i="11"/>
  <c r="A29" i="11"/>
  <c r="A24" i="11"/>
  <c r="A35" i="11"/>
  <c r="A26" i="11"/>
  <c r="A31" i="11"/>
  <c r="A25" i="11"/>
  <c r="A32" i="11"/>
  <c r="A36" i="11"/>
  <c r="A33" i="11"/>
  <c r="A37" i="11"/>
  <c r="A38" i="11"/>
  <c r="A40" i="11"/>
  <c r="A34" i="11"/>
  <c r="A39" i="11"/>
  <c r="A41" i="11"/>
  <c r="A42" i="11"/>
  <c r="A50" i="11"/>
  <c r="A43" i="11"/>
  <c r="A51" i="11"/>
  <c r="A46" i="11"/>
  <c r="A44" i="11"/>
  <c r="A45" i="11"/>
  <c r="A49" i="11"/>
  <c r="A48" i="11"/>
  <c r="A47" i="11"/>
  <c r="A10" i="1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16" i="1"/>
  <c r="C2" i="1"/>
  <c r="C11" i="1"/>
  <c r="C10" i="1"/>
  <c r="C9" i="1"/>
  <c r="C8" i="1"/>
  <c r="C7" i="1"/>
  <c r="C6" i="1"/>
  <c r="C5" i="1"/>
  <c r="C4" i="1"/>
  <c r="C3" i="1"/>
</calcChain>
</file>

<file path=xl/sharedStrings.xml><?xml version="1.0" encoding="utf-8"?>
<sst xmlns="http://schemas.openxmlformats.org/spreadsheetml/2006/main" count="1625" uniqueCount="1077">
  <si>
    <t>Respuesta_Modelo</t>
  </si>
  <si>
    <t xml:space="preserve"> {'@1': {'solicitud': 'Consumo energético del horno el 15 de noviembre', 'escenario': 'consumo_basico'}} | notas: La solicitud se categoriza como 'consumo_basico' porque el usuario solicita un valor de consumo energético histórico para un dispositivo específico (horno) en una fecha determinada (15 de noviembre), lo que se ajusta a la descripción del escenario 'consumo_basico' que busca acceder a datos puntuales o históricos sin realizar comparaciones analíticas.</t>
  </si>
  <si>
    <t xml:space="preserve"> {'@1': {'solicitud': 'Dime el consumo del ventilador esta semana', 'escenario': 'consumo_basico'}, '@2': {'solicitud': 'Dime el consumo de la lavadora la semana pasada', 'escenario': 'consumo_basico'}} | notas: Se han identificado dos solicitudes de consumo básico, una para el ventilador esta semana y otra para la lavadora la semana pasada. Ambas solicitudes buscan valores de consumo energético históricos para dispositivos específicos dentro de un intervalo temporal explícito, lo que se ajusta al escenario de "consumo_basico".</t>
  </si>
  <si>
    <t xml:space="preserve"> {'@1': {'solicitud': 'Consumo de la nevera el domingo', 'escenario': 'consumo_basico'}, '@2': {'solicitud': 'Consumo de la lavadora el domingo', 'escenario': 'consumo_basico'}, '@3': {'solicitud': 'Consumo de la secadora el domingo', 'escenario': 'consumo_basico'}} | notas: El escenario elegido para cada solicitud es "consumo_basico" porque el usuario solicita valores de consumo energético históricos para dispositivos específicos (nevera, lavadora y secadora) en un intervalo temporal explícito (el domingo). La intención es acceder a datos puntuales sin realizar comparaciones analíticas, análisis de patrones, inferencias ni estimaciones.</t>
  </si>
  <si>
    <t xml:space="preserve"> {'@1': {'solicitud': 'Consumo del aire acondicionado el fin de semana pasado', 'escenario': 'consumo_basico'}} | notas: La solicitud se categoriza como 'consumo_basico' porque el usuario solicita un valor de consumo energético histórico para un dispositivo específico (aire acondicionado) dentro de un intervalo temporal explícito (el fin de semana pasado).</t>
  </si>
  <si>
    <t xml:space="preserve"> {'@1': {'solicitud': 'Dime el consumo de mi televisor ayer', 'escenario': 'consumo_basico'}, '@2': {'solicitud': 'Dime si el consumo de mi televisor ayer fue moralmente correcto', 'escenario': 'entrada_inadmisible'}} | notas: La solicitud de consumo de energía del televisor ayer se categoriza como "consumo_basico" porque busca un valor cuantitativo de consumo energético para un dispositivo específico dentro de un intervalo temporal explícito. La segunda parte de la solicitud, referente a la corrección moral, se categoriza como "entrada_inadmisible" porque no se relaciona con el consumo energético del hogar de manera que el sistema pueda procesarla o interpretarla en el contexto de los escenarios de entrada admitidos.</t>
  </si>
  <si>
    <t xml:space="preserve"> {'@1': {'solicitud': 'Consumo de la nevera en enero', 'escenario': 'consumo_basico'}} | notas: La solicitud se categoriza como 'consumo_basico' porque el usuario solicita un valor de consumo energético histórico para un dispositivo específico (la nevera) dentro de un intervalo temporal explícito (el mes de enero). La respuesta esperada es un valor cuantitativo único.</t>
  </si>
  <si>
    <t xml:space="preserve"> {'@1': {'solicitud': 'Quiero saber cuánta energía gastó mi computador hoy', 'escenario': 'consumo_basico'}} | notas: La solicitud se categoriza como 'consumo_basico' porque el usuario solicita un valor de consumo energético específico para un dispositivo (computador) en un intervalo temporal explícito (hoy), lo que se ajusta a la descripción del escenario 'consumo_basico' que busca acceder a datos puntuales o históricos sin realizar comparaciones analíticas.</t>
  </si>
  <si>
    <t xml:space="preserve"> {'@1': {'solicitud': 'Dime cuántos kWh consumió mi casa la semana pasada', 'escenario': 'consumo_basico'}} | notas: La solicitud se categoriza como 'consumo_basico' porque el usuario solicita un valor de consumo energético histórico para un intervalo temporal explícito (la semana pasada), lo que se ajusta a la descripción del escenario 'consumo_basico'. La respuesta esperada es un valor cuantitativo único, que es el consumo total de kWh de la casa durante ese período.</t>
  </si>
  <si>
    <t xml:space="preserve"> {'@1': {'solicitud': 'Consumo de energía del televisor la noche del día anterior', 'escenario': 'consumo_basico'}} | notas: La solicitud se categoriza como 'consumo_basico' porque el usuario solicita un valor de consumo energético específico para un dispositivo (televisor) en un intervalo temporal explícito (ayer en la noche), lo que se ajusta a la descripción del escenario 'consumo_basico' que busca acceder a datos puntuales o históricos sin realizar comparaciones analíticas.</t>
  </si>
  <si>
    <t xml:space="preserve"> {'@1': {'solicitud': '¿Cuánta energía consumió mi casa ayer?', 'escenario': 'consumo_basico'}} | notas: La solicitud del usuario se categoriza bajo el escenario 'consumo_basico' porque busca un valor de consumo energético histórico para un dispositivo o zona del hogar (en este caso, la casa completa) dentro de un intervalo temporal explícito (ayer). La intención es acceder a un dato puntual sin realizar comparaciones analíticas, análisis de patrones, inferencias ni estimaciones. La pregunta sobre la "feliz" es interpretada como una metáfora para referirse al consumo de energía, lo que sugiere que el usuario está interesado en saber si el consumo fue alto o bajo, pero el sistema lo interpreta como una solicitud de datos de consumo.</t>
  </si>
  <si>
    <t xml:space="preserve"> {'@1': {'solicitud': 'Dime el consumo de mi nevera ayer', 'escenario': 'consumo_basico'}, '@2': {'solicitud': 'Dime el consumo de mi lavadora ayer', 'escenario': 'consumo_basico'}} | notas: El sistema ha identificado dos solicitudes claras y directas para obtener el consumo energético de dos dispositivos específicos (nevera y lavadora) en un intervalo temporal explícito (ayer). Ambas solicitudes se ajustan al escenario de "consumo_basico" porque buscan valores de consumo energético históricos para dispositivos específicos dentro de un periodo de tiempo definido, sin realizar comparaciones ni análisis de patrones.</t>
  </si>
  <si>
    <t xml:space="preserve"> {'@1': {'solicitud': 'Consumo del aire acondicionado en la mañana de ayer', 'escenario': 'consumo_basico'}, '@2': {'solicitud': 'Consumo del aire acondicionado en la noche de ayer', 'escenario': 'consumo_basico'}} | notas: La solicitud del usuario se refiere a dos momentos específicos del día (mañana y noche) de un día determinado (ayer), lo que indica una intención de consultar valores de consumo energético históricos para un dispositivo específico (aire acondicionado). Dado que se busca acceder a datos puntuales dentro de un intervalo temporal explícito (mañana y noche de ayer), el escenario más adecuado es el de "consumo_basico".</t>
  </si>
  <si>
    <t xml:space="preserve"> {'@1': {'solicitud': 'Consumo de energía de mi PC ayer', 'escenario': 'consumo_basico'}, '@2': {'solicitud': 'Consumo de energía de mi monitor ayer', 'escenario': 'consumo_basico'}, '@3': {'solicitud': 'Consumo de energía de mi router ayer', 'escenario': 'consumo_basico'}} | notas: El usuario solicita valores de consumo energético históricos para dispositivos específicos (PC, monitor y router) dentro de un intervalo temporal explícito (ayer), lo que se ajusta al escenario de "consumo_basico". La intención es acceder a datos puntuales sin realizar comparaciones analíticas, análisis de patrones, inferencias ni estimaciones.</t>
  </si>
  <si>
    <t xml:space="preserve"> {'@1': {'solicitud': 'Consumo del televisor el sábado pasado', 'escenario': 'consumo_basico'}, '@2': {'solicitud': 'Consumo del computador el sábado pasado', 'escenario': 'consumo_basico'}} | notas: La solicitud del usuario se refiere a dos dispositivos específicos (televisor y computador) y un período de tiempo explícito (el sábado pasado), lo que indica que la intención principal es consultar valores de consumo energético históricos. Esto se ajusta al escenario de "consumo_basico" ya que se busca acceder a datos puntuales sin realizar comparaciones analíticas, análisis de patrones, inferencias ni estimaciones.</t>
  </si>
  <si>
    <t xml:space="preserve"> {'@1': {'solicitud': 'Consumo total de la casa durante marzo de 2024', 'escenario': 'consumo_basico'}} | notas: La solicitud se categoriza como 'consumo_basico' porque el usuario solicita un valor de consumo energético histórico para un intervalo temporal explícito (marzo de 2024) y se refiere a un dispositivo o zona específica (la casa completa), lo que se ajusta a la descripción del escenario 'consumo_basico'. La respuesta esperada es un valor cuantitativo único que representa el consumo total de la casa durante el mes de marzo de 2024.</t>
  </si>
  <si>
    <t xml:space="preserve"> {'@1': {'solicitud': 'Dime el consumo de mi lavadora el lunes pasado', 'escenario': 'consumo_basico'}} | notas: La solicitud se categoriza como 'consumo_basico' porque el usuario solicita un valor de consumo energético histórico para un dispositivo específico (lavadora) dentro de un intervalo temporal explícito (el lunes pasado).</t>
  </si>
  <si>
    <t xml:space="preserve"> {'@1': {'solicitud': 'Consumo de la casa el lunes', 'escenario': 'consumo_basico'}, '@2': {'solicitud': 'Consumo de la casa el martes', 'escenario': 'consumo_basico'}} | notas: El usuario solicita valores de consumo energético históricos para dos días específicos (lunes y martes), lo que se ajusta al escenario de "consumo_basico" ya que busca acceder a datos puntuales sin realizar comparaciones analíticas. Aunque la pregunta implica una comparación implícita entre los consumos de los dos días, la intención principal es obtener los valores de consumo para cada día, lo que se alinea con el escenario de consumo básico.</t>
  </si>
  <si>
    <t xml:space="preserve"> {'@1': {'solicitud': 'consumo en junio', 'escenario': 'consumo_basico'}, '@2': {'solicitud': 'consumo en julio', 'escenario': 'consumo_basico'}, '@3': {'solicitud': 'consumo en agosto', 'escenario': 'consumo_basico'}} | notas: El usuario solicita valores de consumo energético históricos para tres meses específicos (junio, julio y agosto), lo que se ajusta a la descripción del escenario 'consumo_basico'. La intención principal es acceder a datos puntuales o históricos sin realizar comparaciones analíticas, análisis de patrones, inferencias ni estimaciones.</t>
  </si>
  <si>
    <t xml:space="preserve"> {'@1': {'solicitud': 'Muéstrame el consumo del horno en enero y en febrero', 'escenario': 'consumo_basico'}} | notas: La solicitud se categoriza como 'consumo_basico' porque el usuario solicita valores de consumo energ\u00e9tico para un dispositivo espec\u00edfico (horno) dentro de un intervalo temporal expl\u00edcito (enero y febrero), lo que se ajusta a la descripci\u00f3n del escenario 'consumo_basico'.</t>
  </si>
  <si>
    <t xml:space="preserve"> {'@1': {'solicitud': 'Mostrar el consumo del ventilador el día de ayer', 'escenario': 'consumo_basico'}} | notas: La solicitud se categoriza como 'consumo_basico' porque el usuario solicita un valor de consumo energético histórico para un dispositivo específico (el ventilador) dentro de un intervalo temporal explícito (el día de ayer). La intención es acceder a un dato puntual sin realizar comparaciones analíticas, análisis de patrones, inferencias ni estimaciones.</t>
  </si>
  <si>
    <t xml:space="preserve"> {'@1': {'solicitud': '¿Cuánto consumió mi PC ayer?', 'escenario': 'consumo_basico'}, '@2': {'solicitud': '¿Ha venido aumentando su consumo este mes?', 'escenario': 'deteccion_anomalias_tendencias'}} | notas: La solicitud se ha segmentado en dos partes para adecuarse a los escenarios admitidos por el sistema. La primera parte, "¿Cuánto consumió mi PC ayer?", se ajusta al escenario 'consumo_basico' porque busca un valor de consumo energético histórico para un dispositivo específico (la PC) dentro de un intervalo temporal explícito (ayer). La segunda parte, "¿Ha venido aumentando su consumo este mes?", se ajusta al escenario 'deteccion_anomalias_tendencias' porque implica analizar patrones temporales para identificar si ha habido un aumento sostenido en el consumo energético de la PC a lo largo del mes.</t>
  </si>
  <si>
    <t xml:space="preserve"> {'@1': {'solicitud': 'Cuánto consumió mi casa este mes', 'escenario': 'consumo_basico'}, '@2': {'solicitud': 'Si aumentó respecto al mes pasado', 'escenario': 'comparacion_consumos'}} | notas: El sistema identificó dos solicitudes en la consulta del usuario. La primera solicitud se categoriza como "consumo_basico" porque el usuario pregunta por el consumo energético de su casa en un intervalo temporal específico (este mes). La segunda solicitud se categoriza como "comparacion_consumos" porque el usuario busca comparar el consumo del mes actual con el del mes pasado, lo que implica una comparación entre dos periodos de tiempo distintos.</t>
  </si>
  <si>
    <t xml:space="preserve"> {'@1': {'solicitud': '¿Cuánto consumió mi casa en noviembre?', 'escenario': 'consumo_basico'}, '@2': {'solicitud': '¿Cómo se compara el consumo de mi casa en noviembre con octubre?', 'escenario': 'comparacion_consumos'}} | notas: La solicitud del usuario se puede segmentar en dos partes: una que busca el consumo energético total de la casa en noviembre, lo cual se ajusta al escenario de "consumo_basico" porque solicita un valor cuantitativo único para un periodo de tiempo explícito. La segunda parte de la solicitud compara el consumo entre noviembre y octubre, lo que se ajusta al escenario de "comparacion_consumos" porque implica analizar diferencias relativas entre dos periodos de tiempo distintos.</t>
  </si>
  <si>
    <t xml:space="preserve"> {'@1': {'solicitud': 'Quiero saber el consumo del ventilador este mes', 'escenario': 'consumo_basico'}, '@2': {'solicitud': 'dime si la tendencia es creciente', 'escenario': 'deteccion_anomalias_tendencias'}} | notas: La solicitud se ha segmentado en dos partes. La primera parte, "Quiero saber el consumo del ventilador este mes", se ajusta al escenario de "consumo_basico" porque el usuario solicita un valor de consumo energético histórico para un dispositivo específico (el ventilador) dentro de un intervalo temporal explícito (este mes). La segunda parte, "dime si la tendencia es creciente", se ajusta al escenario de "deteccion_anomalias_tendencias" porque el usuario busca identificar una tendencia sostenida en el consumo energético, lo que implica analizar patrones temporales y posibles aumentos.</t>
  </si>
  <si>
    <t xml:space="preserve"> {'@1': {'solicitud': 'Dime el consumo del televisor ayer', 'escenario': 'consumo_basico'}, '@2': {'solicitud': 'debería cambiar de carrera profesional', 'escenario': 'entrada_inadmisible'}} | notas: La solicitud "Dime el consumo del televisor ayer" se categoriza como "consumo_basico" porque el usuario solicita un valor de consumo energético histórico para un dispositivo específico (el televisor) dentro de un intervalo temporal explícito (ayer). La segunda solicitud, "debería cambiar de carrera profesional", se categoriza como "entrada_inadmisible" porque no está relacionada con el consumo energético del hogar y no corresponde a ninguno de los escenarios de entrada admitidos por el sistema.</t>
  </si>
  <si>
    <t xml:space="preserve"> {'@1': {'solicitud': 'Dime cuánto consumió la lavadora el lunes', 'escenario': 'consumo_basico'}, '@2': {'solicitud': 'Dime cuánto consumió la lavadora el martes y compáralo con el lunes', 'escenario': 'comparacion_consumos'}} | notas: El sistema identificó dos solicitudes en la entrada del usuario. La primera solicitud se categoriza como "consumo_basico" porque el usuario solicita un valor de consumo energético histórico para un dispositivo específico (la lavadora) en un día determinado (el lunes). La segunda solicitud se categoriza como "comparacion_consumos" porque el usuario pide comparar el consumo de la lavadora entre dos días diferentes (lunes y martes), lo que implica analizar diferencias relativas entre los consumos.</t>
  </si>
  <si>
    <t xml:space="preserve"> {'@1': {'solicitud': 'Quiero saber el consumo del ventilador ayer', 'escenario': 'consumo_basico'}, '@2': {'solicitud': 'Quiero saber si hubo algún pico extraño en el consumo del ventilador ayer', 'escenario': 'deteccion_anomalias_tendencias'}} | notas: La solicitud del usuario se puede segmentar en dos partes claras: una relacionada con el consumo básico del ventilador ayer, lo que se ajusta al escenario de "consumo_basico" porque busca un valor cuantitativo de consumo para un dispositivo específico en un intervalo temporal explícito. La segunda parte de la solicitud busca identificar si hubo algún pico extraño en el consumo, lo que se ajusta al escenario de "deteccion_anomalias_tendencias" porque implica analizar patrones temporales y posibles comportamientos anómalos en el consumo.</t>
  </si>
  <si>
    <t xml:space="preserve"> {'@1': {'solicitud': 'Dime el consumo del televisor ayer', 'escenario': 'consumo_basico'}, '@2': {'solicitud': 'Analiza si su consumo va en aumento', 'escenario': 'deteccion_anomalias_tendencias'}} | notas: La solicitud se ha segmentado en dos partes. La primera parte, "Dime el consumo del televisor ayer", se ajusta al escenario de "consumo_basico" porque solicita un valor de consumo energético histórico para un dispositivo específico (el televisor) dentro de un intervalo temporal explícito (ayer). La segunda parte, "analiza si su consumo va en aumento", se ajusta al escenario de "deteccion_anomalias_tendencias" porque implica analizar patrones temporales para identificar si hay un aumento sostenido en el consumo energético.</t>
  </si>
  <si>
    <t xml:space="preserve"> {'@1': {'solicitud': 'Dime el consumo del aire acondicionado la semana pasada', 'escenario': 'consumo_basico'}, '@2': {'solicitud': 'analiza si hubo anomalías', 'escenario': 'deteccion_anomalias_tendencias'}} | notas: La solicitud se ha segmentado en dos partes. La primera parte, "Dime el consumo del aire acondicionado la semana pasada", se ajusta al escenario de "consumo_basico" porque el usuario solicita un valor de consumo energético histórico para un dispositivo específico (aire acondicionado) dentro de un intervalo temporal explícito (la semana pasada). La segunda parte, "analiza si hubo anomalías", se ajusta al escenario de "deteccion_anomalias_tendencias" porque el usuario busca identificar comportamientos anómalos en el consumo energético.</t>
  </si>
  <si>
    <t xml:space="preserve"> {'@1': {'solicitud': '¿Cuánto consumió la lavadora el sábado?', 'escenario': 'consumo_basico'}, '@2': {'solicitud': '¿Fue el consumo de la lavadora el sábado mayor que el del domingo?', 'escenario': 'comparacion_consumos'}} | notas: La solicitud del usuario se puede segmentar en dos partes: la primera busca conocer el consumo de la lavadora el sábado, lo cual se ajusta al escenario de 'consumo_basico' porque solicita un valor de consumo específico para un dispositivo dentro de un intervalo temporal explícito. La segunda parte de la solicitud compara el consumo del sábado con el del domingo, lo que se ajusta al escenario de 'comparacion_consumos' porque busca identificar una diferencia relativa entre dos periodos de tiempo distintos.</t>
  </si>
  <si>
    <t xml:space="preserve"> {'@1': {'solicitud': 'Quiero saber el consumo de mi PC esta semana', 'escenario': 'consumo_basico'}, '@2': {'solicitud': 'Quiero comparar el consumo de mi PC esta semana con la semana pasada', 'escenario': 'comparacion_consumos'}} | notas: Para determinar el escenario adecuado, se identificó que la primera solicitud busca obtener un valor cuantitativo único o una serie temporal de consumo energético para un dispositivo específico (PC) dentro de un intervalo temporal explícito (esta semana), lo que se ajusta al escenario "consumo_basico". La segunda solicitud implica comparar consumos entre dos periodos de tiempo distintos (esta semana y la semana pasada), lo que encaja en el escenario "comparacion_consumos".</t>
  </si>
  <si>
    <t xml:space="preserve"> {'@1': {'solicitud': 'Dime el consumo del aire acondicionado ayer', 'escenario': 'consumo_basico'}, '@2': {'solicitud': 'dime si eso significa que soy irresponsable', 'escenario': 'entrada_inadmisible'}} | notas: La solicitud "@1" se categoriza como 'consumo_basico' porque el usuario solicita un valor de consumo energético histórico para un dispositivo específico (aire acondicionado) dentro de un intervalo temporal explícito (ayer). La solicitud "@2" se considera 'entrada_inadmisible' porque no se relaciona directamente con el consumo energético del hogar, sino que implica una valoración subjetiva sobre la responsabilidad del usuario, lo cual no es un escenario de entrada admitido por el sistema.</t>
  </si>
  <si>
    <t xml:space="preserve"> {'@1': {'solicitud': 'consumo total de la casa', 'escenario': 'consumo_basico'}, '@2': {'solicitud': 'si ha ido aumentando en el año', 'escenario': 'comparacion_consumos'}} | notas: Para determinar el consumo total de la casa, se utiliza el escenario "consumo_basico" ya que se busca un valor cuantitativo único. Para la segunda solicitud, se utiliza "comparacion_consumos" porque se compara el consumo a lo largo del año, implicando una comparación entre diferentes periodos.</t>
  </si>
  <si>
    <t xml:space="preserve"> {'@1': {'solicitud': 'Dime el consumo de mi nevera ayer', 'escenario': 'consumo_basico'}, '@2': {'solicitud': 'Compara el consumo de mi nevera ayer con el consumo del sábado pasado', 'escenario': 'comparacion_consumos'}} | notas: Para categorizar las solicitudes, se analizaron las intenciones detrás de cada petición. La primera solicitud, "Dime el consumo de mi nevera ayer", busca acceso a datos puntuales de consumo energético para un dispositivo específico (la nevera) dentro de un intervalo temporal explícito (ayer), lo que corresponde al escenario "consumo_basico". La segunda solicitud, "Compara el consumo de mi nevera ayer con el consumo del sábado pasado", implica comparar consumos energéticos entre dos periodos de tiempo distintos, lo que se ajusta al escenario "comparacion_consumos".</t>
  </si>
  <si>
    <t xml:space="preserve"> {'@1': {'solicitud': 'Obtén el consumo del televisor ayer', 'escenario': 'consumo_basico'}, '@2': {'solicitud': 'Obtén el consumo del televisor hoy', 'escenario': 'consumo_basico'}, '@3': {'solicitud': 'Compara el consumo del televisor de ayer con el de hoy', 'escenario': 'comparacion_consumos'}} | notas: El sistema identificó tres solicitudes en la entrada del usuario: obtener el consumo del televisor ayer, obtener el consumo del televisor hoy y comparar ambos consumos. La primera y segunda solicitudes se categorizan como "consumo_basico" porque buscan valores de consumo energético históricos para un dispositivo específico (el televisor) en un intervalo temporal explícito (ayer y hoy). La tercera solicitud se categoriza como "comparacion_consumos" porque busca comparar los consumos energéticos entre dos periodos de tiempo distintos (ayer y hoy) para identificar diferencias relativas.</t>
  </si>
  <si>
    <t xml:space="preserve"> {'@1': {'solicitud': 'Dime el consumo del aire acondicionado esta semana', 'escenario': 'consumo_basico'}, '@2': {'solicitud': 'Dime el consumo del aire acondicionado la semana pasada', 'escenario': 'consumo_basico'}, '@3': {'solicitud': 'Compara el consumo del aire acondicionado de esta semana con el de la semana pasada', 'escenario': 'comparacion_consumos'}} | notas: La solicitud del usuario se puede segmentar en tres partes: obtener el consumo del aire acondicionado para la semana actual, obtener el consumo para la semana pasada, y comparar estos dos consumos. La primera y segunda partes se ajustan al escenario de 'consumo_basico' porque buscan valores de consumo energético históricos para un dispositivo específico (aire acondicionado) dentro de un intervalo temporal explícito (esta semana y la semana pasada). La tercera parte se ajusta al escenario de 'comparacion_consumos' porque busca comparar consumos energéticos entre dos periodos de tiempo distintos.</t>
  </si>
  <si>
    <t xml:space="preserve"> {'@1': {'solicitud': ' consumption del horno el 2026-01-10', 'escenario': 'consumo_basico'}, '@2': {'solicitud': 'SI el consumo del horno el 2026-01-10 fue anormal', 'escenario': 'deteccion_anomalias_tendencias'}} | notas: Para responder a la solicitud del usuario, primero se debe categorizar la petición en dos partes bien diferenciadas: obtener el consumo del horno para el día anterior a la fecha actual (2026-01-10) y determinar si ese consumo fue anormal. La primera parte se alinea perfectamente con el escenario de "consumo_básico" porque implica solicitar un valor cuantitativo de consumo energético para un dispositivo específico (el horno) dentro de un intervalo temporal explícito (ayer). La segunda parte de la solicitud se ajusta al escenario de "detección de anomalías y tendencias" ya que implica analizar el comportamiento del consumo para identificar si hubo un patrón anormal en el consumo del horno para ese día específico.</t>
  </si>
  <si>
    <t xml:space="preserve"> {'@1': {'solicitud': '¿Cuánto consumió mi nevera ayer?', 'escenario': 'consumo_basico'}, '@2': {'solicitud': '¿Cuál consumió más, la nevera o el horno?', 'escenario': 'comparacion_consumos'}} | notas: La solicitud se dividió en dos partes. La primera parte, "¿Cuánto consumió mi nevera ayer?", se categorizó como "consumo_basico" porque el usuario solicita un valor de consumo energético histórico para un dispositivo específico (la nevera) dentro de un intervalo temporal explícito (ayer). La segunda parte, "¿Cuál consumió más, la nevera o el horno?", se categorizó como "comparacion_consumos" porque el usuario pide comparar los consumos de dos dispositivos (la nevera y el horno) para determinar cuál consume más energía.</t>
  </si>
  <si>
    <t xml:space="preserve"> {'@1': {'solicitud': '¿Cuánto consumió la nevera ayer?', 'escenario': 'consumo_basico'}, '@2': {'solicitud': '¿Cuánto consumió el televisor ayer?', 'escenario': 'consumo_basico'}, '@3': {'solicitud': '¿Cuál de los dos dispositivos consumió más ayer?', 'escenario': 'comparacion_consumos'}} | notas: El usuario solicitó el consumo de dos dispositivos específicos (nevera y televisor) para un día determinado (ayer), lo que se ajusta al escenario de "consumo_basico". Luego, solicitó una comparación entre los consumos de estos dispositivos para determinar cuál consumió más, lo que corresponde al escenario de "comparacion_consumos".</t>
  </si>
  <si>
    <t xml:space="preserve"> {'@1': {'solicitud': '¿Cuánto consumió el aire acondicionado ayer?', 'escenario': 'consumo_basico'}, '@2': {'solicitud': '¿Cómo se compara el consumo del aire acondicionado de ayer con el de la semana pasada?', 'escenario': 'comparacion_consumos'}, '@3': {'solicitud': '¿Qué tendencia tiene el consumo del aire acondicionado?', 'escenario': 'deteccion_anomalias_tendencias'}} | notas: Se identificaron tres solicitudes en la pregunta del usuario: una para obtener el consumo del aire acondicionado de ayer, otra para comparar este consumo con el de la semana pasada, y otra para determinar la tendencia del consumo. Cada solicitud se asignó a un escenario de entrada admitido por el sistema según su intención principal.</t>
  </si>
  <si>
    <t xml:space="preserve"> {'@1': {'solicitud': 'Dime el consumo del aire acondicionado esta semana', 'escenario': 'consumo_basico'}, '@2': {'solicitud': 'Compara el consumo del aire acondicionado de esta semana con la anterior', 'escenario': 'comparacion_consumos'}, '@3': {'solicitud': 'Analiza la tendencia del consumo del aire acondicionado', 'escenario': 'deteccion_anomalias_tendencias'}} | notas: La solicitud del usuario se puede segmentar en tres partes: obtener el consumo actual, compararlo con el pasado y analizar la tendencia. Cada parte corresponde a un escenario de entrada admitido por el sistema. La primera solicitud se ajusta al escenario de 'consumo_basico' porque busca un valor cuantitativo de consumo energético dentro de un intervalo temporal específico. La segunda solicitud se ajusta al escenario de 'comparacion_consumos' porque implica comparar consumos entre dos periodos de tiempo distintos. La tercera solicitud se ajusta al escenario de 'deteccion_anomalias_tendencias' porque busca identificar patrones o tendencias en el consumo energético.</t>
  </si>
  <si>
    <t xml:space="preserve"> {'@1': {'solicitud': '¿Cuánto consumió mi casa en octubre?', 'escenario': 'consumo_basico'}, '@2': {'solicitud': '¿Cómo se compara con noviembre?', 'escenario': 'comparacion_consumos'}, '@3': {'solicitud': '¿Hubo algún pico raro?', 'escenario': 'deteccion_anomalias_tendencias'}} | notas: Para determinar el consumo en octubre, se debe utilizar el escenario de "consumo_basico" porque se solicita un valor de consumo histórico para un intervalo de tiempo explícito. La comparación con noviembre se ajusta al escenario de "comparacion_consumos" ya que implica comparar consumos entre periodos diferentes. La pregunta sobre picos raros se relaciona con "deteccion_anomalias_tendencias" porque busca identificar comportamientos anómalos en el consumo.</t>
  </si>
  <si>
    <t xml:space="preserve"> {'@1': {'solicitud': 'Quiero el consumo del horno este mes', 'escenario': 'consumo_basico'}, '@2': {'solicitud': 'saber si hay alguna anomalía', 'escenario': 'deteccion_anomalias_tendencias'}} | notas: La solicitud se ha segmentado en dos partes: una para el consumo del horno este mes, que se ajusta al escenario de "consumo_basico" porque busca un valor cuantitativo único dentro de un intervalo temporal explícito (este mes). La segunda parte, "saber si hay alguna anomalía", se ajusta al escenario de "deteccion_anomalias_tendencias" porque implica analizar patrones temporales para identificar comportamientos anómalos.</t>
  </si>
  <si>
    <t xml:space="preserve"> {'@1': {'solicitud': 'Quiero el consumo del ventilador ayer', 'escenario': 'consumo_basico'}, '@2': {'solicitud': 'Quiero el consumo del PC hoy', 'escenario': 'consumo_basico'}, '@3': {'solicitud': 'Quiero una comparación entre el consumo del ventilador ayer y el PC hoy', 'escenario': 'comparacion_consumos'}} | notas: El sistema identificó tres solicitudes en la entrada del usuario. La primera y la segunda solicitudes se categorizaron como "consumo_basico" porque el usuario solicita valores de consumo energético para un dispositivo específico en un momento determinado. La tercera solicitud se categorizó como "comparacion_consumos" porque el usuario pide comparar los consumos de dos dispositivos diferentes.</t>
  </si>
  <si>
    <t xml:space="preserve"> {'@1': {'solicitud': 'Dime el consumo de mi nevera ayer', 'escenario': 'consumo_basico'}, '@2': {'solicitud': 'compárala con la lavadora', 'escenario': 'comparacion_consumos'}, '@3': {'solicitud': 'dime si con eso ya puedo ahorrar para irme de viaje', 'escenario': 'prediccion_estimacion'}} | notas: Se identificaron tres solicitudes en la entrada del usuario. La primera solicitud busca el consumo de la nevera ayer, lo que se ajusta al escenario de 'consumo_basico' porque solicita un valor de consumo energético histórico para un dispositivo específico dentro de un intervalo temporal explícito. La segunda solicitud compara el consumo de la nevera con el de la lavadora, lo que encaja en el escenario de 'comparacion_consumos' porque implica comparar consumos entre dos dispositivos diferentes. La tercera solicitud, sin embargo, se refiere a si con la información proporcionada se puede ahorrar para un viaje, lo que se ajusta al escenario de 'prediccion_estimacion' porque implica una proyección o estimación futura basada en datos actuales.</t>
  </si>
  <si>
    <t xml:space="preserve"> {'@1': {'solicitud': 'Quiero saber cuánto consumió mi nevera ayer', 'escenario': 'consumo_basico'}, '@2': {'solicitud': 'Quiero saber cuánto consumió la lavadora ayer', 'escenario': 'consumo_basico'}, '@3': {'solicitud': 'Comparar el consumo de la nevera y la lavadora de ayer', 'escenario': 'comparacion_consumos'}, '@4': {'solicitud': 'Identificar si el consumo de la nevera o la lavadora fue anormal ayer', 'escenario': 'deteccion_anomalias_tendencias'}} | notas: El sistema identificó cuatro solicitudes en la consulta del usuario. La primera y segunda solicitudes se categorizaron como "consumo_basico" porque el usuario solicita valores de consumo energético históricos para dispositivos específicos (nevera y lavadora) dentro de un intervalo temporal explícito (ayer). La tercera solicitud se categorizó como "comparacion_consumos" porque el usuario pide comparar los consumos de dos dispositivos. La cuarta solicitud se categorizó como "deteccion_anomalias_tendencias" porque el usuario busca identificar si alguno de los dispositivos tuvo un consumo anormal.</t>
  </si>
  <si>
    <t xml:space="preserve"> {'@1': {'solicitud': 'Consumo total de la casa', 'escenario': 'consumo_basico'}, '@2': {'solicitud': 'Comparar consumos de este año con el anterior', 'escenario': 'comparacion_consumos'}, '@3': {'solicitud': 'Días anómalos de consumo', 'escenario': 'deteccion_anomalias_tendencias'}} | notas: Para atender las solicitudes del usuario, se han segmentado en tres partes principales: 
1. **Consumo total de la casa**: Esta solicitud busca obtener el valor total de consumo energético de la casa, lo cual se alinea con el escenario de "consumo_basico" ya que se trata de consultar un valor cuantitativo específico relacionado con el consumo energético.
2. **Comparar consumos de este año con el anterior**: Esta solicitud implica comparar dos periodos de tiempo diferentes (el año actual versus el año anterior) para determinar si ha habido un aumento en el consumo. Este tipo de solicitud se ajusta al escenario de "comparacion_consumos" porque busca identificar diferencias relativas entre dos conjuntos de datos.
3. **Días anómalos de consumo**: Esta solicitud se centra en identificar días en los que el consumo energético ha sido anormal, ya sea por un aumento significativo o una disminución notable. Este tipo de análisis se corresponde con el escenario de "deteccion_anomalias_tendencias" ya que implica el análisis de patrones temporales y la detección de comportamientos anómalos en el consumo energético.</t>
  </si>
  <si>
    <t xml:space="preserve"> {'@1': {'solicitud': 'consumo del horno este mes', 'escenario': 'consumo_basico'}, '@2': {'solicitud': 'anomalías en el consumo del horno', 'escenario': 'deteccion_anomalias_tendencias'}, '@3': {'solicitud': 'tendencia del consumo del horno', 'escenario': 'prediccion_estimacion'}} | notas: Para responder a la solicitud del usuario, se han identificado tres solicitudes diferentes pero relacionadas. La primera busca obtener el consumo energético del horno para el mes en curso, lo que se ajusta al escenario de "consumo_basico" ya que implica acceder a datos cuantitativos históricos sin comparaciones ni análisis avanzados. La segunda solicitud se centra en detectar posibles anomalías en el consumo del horno, lo que corresponde al escenario de "deteccion_anomalias_tendencias" porque requiere analizar patrones y comportamientos anómalos en el consumo. La tercera solicitud analiza la tendencia del consumo del horno para determinar si está en aumento, lo que se relaciona con el escenario de "prediccion_estimacion" ya que implica una proyección o inferencia basada en datos históricos.</t>
  </si>
  <si>
    <t xml:space="preserve"> {'@1': {'solicitud': '¿Cuánto consumió mi nevera ayer?', 'escenario': 'consumo_basico'}, '@2': {'solicitud': 'Compara el consumo de la nevera con la lavadora', 'escenario': 'comparacion_consumos'}, '@3': {'solicitud': 'Dime si hay picos raros en el consumo', 'escenario': 'deteccion_anomalias_tendencias'}} | notas: La solicitud del usuario se puede segmentar en tres partes principales: 
1. La primera solicitud busca el consumo de la nevera ayer, lo que se ajusta al escenario de 'consumo_basico' porque se solicita un valor de consumo energético histórico para un dispositivo específico dentro de un intervalo temporal explícito.
2. La segunda solicitud compara el consumo de la nevera con la lavadora, lo que se ajusta al escenario de 'comparacion_consumos' porque el usuario pide comparar dos consumos diferentes utilizando términos comparativos.
3. La tercera solicitud busca identificar picos raros en el consumo, lo que se ajusta al escenario de 'deteccion_anomalias_tendencias' porque el usuario menciona la detección de comportamientos anómalos en el consumo energético.</t>
  </si>
  <si>
    <t xml:space="preserve"> {'@1': {'solicitud': 'Dime el consumo de mi lavadora el fin de semana', 'escenario': 'consumo_basico'}, '@2': {'solicitud': 'compárala con el horno', 'escenario': 'comparacion_consumos'}, '@3': {'solicitud': 'revisa si hubo picos', 'escenario': 'deteccion_anomalias_tendencias'}} | notas: Para el escenario "consumo_basico", se identificó que la solicitud es sobre el consumo de la lavadora el fin de semana, que es una petición para acceder a datos puntuales de consumo energético históricos. La segunda solicitud, "compárala con el horno", se ajusta al escenario "comparacion_consumos" ya que busca comparar consumos entre dos dispositivos. La tercera solicitud, "revisa si hubo picos", se cataloga bajo el escenario "deteccion_anomalias_tendencias" porque busca identificar posibles comportamientos anómalos en el consumo energético.</t>
  </si>
  <si>
    <t>Puntaje_Calidad</t>
  </si>
  <si>
    <t>Razon_del_Juez</t>
  </si>
  <si>
    <t>El modelo descompone correctamente la intención del usuario en una única solicitud ('Consumo energético del horno el 15 de noviembre') sin inventar información, lo cual satisface A1 y A2. La clasificación del escenario como 'consumo_basico' es correcta y coincide con el Expected Output, cumpliendo B1 y A3. Además, la explicación en el campo 'notas' es clara, detallada y coherente con la solicitud y su clasificación, justificando por qué se ajusta a 'consumo_basico' al mencionar la solicitud de un valor histórico para un dispositivo y fecha específicos sin comparaciones, lo que demuestra una excelente coherencia interna (A4).</t>
  </si>
  <si>
    <t>El modelo descompone correctamente el Input en dos intenciones independientes para el consumo del ventilador esta semana y la lavadora la semana pasada. Clasifica ambas solicitudes de manera precisa como 'consumo_basico', lo cual es consistente con el Expected Output. Además, el campo 'notas' proporciona un razonamiento claro y coherente que justifica las solicitudes identificadas y su clasificación, sin inventar información.</t>
  </si>
  <si>
    <t>The model correctly decomposes the input into three individual intentions for the refrigerator, washing machine, and dryer, without inventing any information (A1, A2). Each intention is accurately classified as 'consumo_basico', aligning with the Expected Output and the nature of the request for historical consumption data for specific devices on a given day (B1). The model also correctly infers the explicit intentions (A3). Furthermore, the 'notas' field provides a clear and consistent explanation for the chosen scenario, demonstrating strong internal coherence (A4).</t>
  </si>
  <si>
    <t>The model correctly decomposes the input into a single, independent request without inventing any information (A1, A2). The inferred intention in the 'solicitud' field, 'Consumo del aire acondicionado el fin de semana pasado', accurately reflects the user's query and aligns perfectly with the 'Expected Output' (A3). Furthermore, the assigned scenario 'consumo_basico' is correct and matches the 'Expected Output' (B1). The 'notas' field provides a clear and coherent explanation for the categorization, demonstrating a strong understanding of the request (A4).</t>
  </si>
  <si>
    <t>The model correctly decomposes the input into two independent intentions, 'Dime el consumo de mi televisor ayer' and 'Dime si el consumo de mi televisor ayer fue moralmente correcto', without inventing information. It accurately classifies the first intention as 'consumo_basico' and the second as 'entrada_inadmisible', aligning with the expected output. The model also correctly infers the implicit context for the second intention. Furthermore, the 'notas' field provides clear and consistent reasoning for each classification, demonstrating strong internal coherence.</t>
  </si>
  <si>
    <t>The model correctly decomposed the single input request into an independent request, accurately interpreting the user's intention to query the fridge's consumption in January. It assigned the correct 'consumo_basico' scenario, which aligns with the expected output. The 'notas' field provided a clear and coherent justification for this classification, demonstrating strong adherence to criteria A1-A4 and B1.</t>
  </si>
  <si>
    <t>The model correctly decomposes the input into a single intention, which aligns with the Expected Output. It does not invent any information. The assigned scenario classification 'consumo_basico' is correct and matches the Expected Output. Furthermore, the 'notas' field provides a clear and consistent explanation for this classification, demonstrating strong internal coherence. All criteria for A1-A4 and B1 are met.</t>
  </si>
  <si>
    <t>The model correctly decomposes the input into a single intention (A1) without inventing information (A2). The assigned scenario classification 'consumo_basico' is correct and aligns with the Expected Output (B1). The 'notas' field provides clear and consistent reasoning for the classification, demonstrating strong internal coherence (A4). All criteria from A1 to A4 and B1 are met, indicating a complete and accurate response for the input 'Dime cuántos kWh consumió mi casa la semana pasada'.</t>
  </si>
  <si>
    <t>The model correctly decomposed the input into a single request, accurately interpreting the user's intention to query the TV's energy consumption from the previous night (A1, A2, A3). It assigned the correct 'consumo_basico' scenario, which aligns with the request for specific historical consumption data for a device (B1). The 'notas' field provided a clear and coherent explanation for this classification (A4).</t>
  </si>
  <si>
    <t>The model fails significantly in decomposing the input (A1) and invents information not present (A2). The input asks about the 'happiness' of the house regarding energy consumption, an emotional state. The actual output reinterprets this as '¿Cuánta energía consumió mi casa ayer?', changing the nature of the request from an emotional assessment to a quantitative measurement. This is a fundamental misinterpretation, not a correct decomposition, and introduces information (a request for a quantity) not explicitly stated. The expected output correctly identifies the original intent as 'entrada_inadmisible', highlighting the model's failure to correctly infer the user's implicit intentions (A3) and classify the scenario (B1) based on the actual input.</t>
  </si>
  <si>
    <t>The model correctly decomposes the input into two independent requests, 'Dime el consumo de mi nevera ayer' and 'Dime el consumo de mi lavadora ayer', without inventing any information (A1, A2). The inferred intentions align perfectly with the Expected Output's interpretation (A3). Both requests are accurately classified under the 'consumo_basico' scenario, matching the Expected Output (B1). Furthermore, the 'notas' field provides a clear and coherent explanation for the classification, demonstrating strong internal consistency (A4).</t>
  </si>
  <si>
    <t>The model correctly decomposes the input into two independent requests for 'consumo del aire acondicionado en la mañana de ayer' and 'consumo del aire acondicionado en la noche de ayer', fulfilling A1 and A2. The inferred intentions align well with the Expected Output's interpretation (A3), despite minor phrasing differences. Both requests are correctly classified under the 'consumo_basico' scenario, which is consistent with the Expected Output and the detailed explanation in the 'notas' field (B1). The 'notas' field itself is clear and coherent (A4). The response is highly accurate, demonstrating a strong understanding of the user's intent and proper classification.</t>
  </si>
  <si>
    <t>The model correctly decomposes the input '¿Cuánta energía gastaron mi PC, mi monitor y mi router ayer?' into three independent requests, one for each device's energy consumption yesterday, without inventing any information (A1, A2). The inferred intentions and details in the decomposed requests align perfectly with the Expected Output (A3). Furthermore, all three requests are correctly classified under the 'consumo_basico' scenario, matching the Expected Output (B1). The 'notas' field in the Actual Output is clear, coherent, and provides a detailed and accurate justification for the scenario choice, demonstrating a strong understanding of the request (A4).</t>
  </si>
  <si>
    <t>The model correctly decomposes the input '¿Cuánto consumieron el televisor y el computador el sábado pasado?' into two independent requests for the television and the computer (A1). It does not invent any information (A2). The inferred intentions in the 'solicitud' fields ('Consumo del televisor el sábado pasado', 'Consumo del computador el sábado pasado') accurately reflect the user's query and align well with the 'Expected Output' (A3). Both requests are correctly classified under the 'consumo_basico' scenario, matching the 'Expected Output' (B1). The 'notas' field provides a clear and coherent explanation for the decomposition and scenario assignment, detailing the specific devices and time period (A4).</t>
  </si>
  <si>
    <t>The model correctly decomposes the single request from the input, identifying 'Consumo total de la casa durante marzo de 2024' without inventing any information (A1, A2). Its interpretation of the user's intention aligns perfectly with the Expected Output, despite minor phrasing differences ('la casa' vs 'el hogar') (A3). Furthermore, the model accurately assigns the 'consumo_basico' scenario, which matches the Expected Output and is well-justified in the 'notas' field by referencing the request for historical energy consumption for a specific time and zone (B1). The 'notas' field itself is clear, coherent, and provides excellent reasoning for the classification (A4).</t>
  </si>
  <si>
    <t>The model correctly decomposes the input into a single request (A1) without inventing information (A2). The inferred intention in the 'solicitud' field, 'Dime el consumo de mi lavadora el lunes pasado', accurately reflects the input's natural language and aligns with the 'Expected Output's interpretation (A3). The assigned scenario 'consumo_basico' is correct and matches the 'Expected Output' (B1). Furthermore, the 'notas' field provides a clear and coherent explanation for the scenario classification, referencing the specific device (lavadora) and temporal interval (lunes pasado) from the input (A4).</t>
  </si>
  <si>
    <t>The model correctly decomposes the input '¿Cuánto consumió mi casa el lunes y cuánto consumió el martes?' into two independent requests, 'Consumo de la casa el lunes' and 'Consumo de la casa el martes', without inventing information (A1, A2). The inferred intentions align well with the Expected Output's 'Consultar el consumo energético total del hogar el lunes/martes' (A3). Both requests are correctly classified under the 'consumo_basico' scenario, matching the Expected Output (B1). The 'notas' field is clear, coherent, and provides a good justification for the scenario choice (A4).</t>
  </si>
  <si>
    <t>The model correctly decomposes the input '¿Cuánto consumió mi casa en junio, julio y agosto?' into three independent requests for consumption in June, July, and August (A1). It does not invent any information (A2). The inferred intentions, 'consumo en junio', 'consumo en julio', and 'consumo en agosto', accurately reflect the user's query and align well with the 'Expected Output's' more verbose but semantically equivalent requests (A3). Furthermore, all three requests are correctly classified under the 'consumo_basico' scenario, matching the 'Expected Output' (B1). The 'notas' field provides a clear and coherent explanation for this classification, reinforcing the model's understanding (A4).</t>
  </si>
  <si>
    <t>The model failed to correctly decompose the input 'Muéstrame el consumo del horno en enero y en febrero' into individual, independent requests (A1). It incorrectly treated 'enero y en febrero' as a single request, whereas the Expected Output correctly identified two distinct requests for January and February. This demonstrates an insufficient interpretation of the natural language (A3), leading to a fundamental flaw in the output structure. While the assigned scenario 'consumo_basico' for its single request was consistent with the type of information requested, the primary failure in decomposition places the response in the lowest rubric category.</t>
  </si>
  <si>
    <t>The model correctly decomposes the single input request into an independent request (A1) without inventing information (A2). The inferred intention in the 'solicitud' field, 'Mostrar el consumo del ventilador el día de ayer', accurately interprets the input's natural language and aligns semantically with the 'Expected Output's 'Consultar el consumo energético del ventilador durante el día de ayer.' (A3). The assigned scenario 'consumo_basico' is correct and matches the 'Expected Output' (B1). Furthermore, the 'notas' field provides a clear, coherent, and accurate justification for the chosen scenario, demonstrating strong internal consistency (A4).</t>
  </si>
  <si>
    <t>The model correctly decomposed the input into two independent intentions, '¿Cuánto consumió mi PC ayer?' and '¿Ha venido aumentando su consumo este mes?', without inventing information (A1, A2). It accurately classified the first intention as 'consumo_basico' and the second as 'deteccion_anomalias_tendencias', which aligns with the expected output and demonstrates correct scenario classification (B1). The 'notas' field provides clear and consistent reasoning for these classifications, explaining why 'consumo_basico' is suitable for a historical value query and 'deteccion_anomalias_tendencias' for a trend analysis, thus showing strong internal coherence (A4).</t>
  </si>
  <si>
    <t>El modelo descompone correctamente el 'Input' en dos intenciones distintas, 'Cuánto consumió mi casa este mes' y 'Si aumentó respecto al mes pasado', sin inventar información (A1, A2). Ambas intenciones están correctamente clasificadas en los escenarios 'consumo_basico' y 'comparacion_consumos' respectivamente, coincidiendo con el 'Expected Output' (B1). Además, la intención implícita de comparación en la segunda solicitud es adecuadamente inferida (A3). Las 'notas' del 'Actual Output' proporcionan un razonamiento claro y coherente que justifica las clasificaciones (A4).</t>
  </si>
  <si>
    <t>El modelo descompone correctamente la solicitud del usuario '¿Cuánto consumió mi casa en noviembre y cómo se compara con octubre?' en dos peticiones independientes y coherentes: '¿Cuánto consumió mi casa en noviembre?' y '¿Cómo se compara el consumo de mi casa en noviembre con octubre?'. No inventa información y las intenciones inferidas se alinean perfectamente con el 'Expected Output'. Además, clasifica correctamente cada solicitud en su escenario correspondiente ('consumo_basico' y 'comparacion_consumos'), y las 'notas' del 'Actual Output' son claras, coherentes y justifican adecuadamente la descomposición y la asignación de escenarios.</t>
  </si>
  <si>
    <t>The model correctly decomposes the input into two distinct intentions: 'Quiero saber el consumo del ventilador este mes' and 'dime si la tendencia es creciente'. Both intentions are accurately classified into their respective scenarios, 'consumo_basico' and 'deteccion_anomalias_tendencias', which aligns perfectly with the Expected Output. The 'notas' field provides a clear, consistent, and well-reasoned explanation for both the segmentation and the scenario assignments, demonstrating strong internal coherence. No information was invented, and implicit intentions were handled appropriately.</t>
  </si>
  <si>
    <t>The model correctly decomposes the input into two independent intentions, 'Dime el consumo del televisor ayer' and 'debería cambiar de carrera profesional', without inventing information (A1, A2). It accurately classifies the first intention as 'consumo_basico' and the second as 'entrada_inadmisible', aligning perfectly with the Expected Output's classifications (B1). The reasoning provided in the 'notas' field is clear, consistent, and accurately justifies each classification, demonstrating strong internal coherence (A4). The model also adequately infers the implicit intentions (A3).</t>
  </si>
  <si>
    <t>El modelo descompone correctamente la solicitud del usuario en dos intenciones distintas, 'Dime cuánto consumió la lavadora el lunes' y 'Dime cuánto consumió la lavadora el martes y compáralo con el lunes', sin inventar información. Ambas intenciones están correctamente clasificadas en los escenarios 'consumo_basico' y 'comparacion_consumos' respectivamente, lo cual coincide con el Expected Output. La inferencia de la intención implícita de comparación es adecuada. Además, las 'notas' proporcionan un razonamiento claro y coherente que justifica las clasificaciones, demostrando una buena coherencia interna. La formulación de la segunda solicitud en el Actual Output es un poco más literal que la del Expected Output, pero captura la intención correctamente.</t>
  </si>
  <si>
    <t>The model correctly decomposes the input 'Quiero saber el consumo del ventilador y si hubo algún pico extraño ayer' into two distinct intentions, 'Quiero saber el consumo del ventilador ayer' and 'Quiero saber si hubo algún pico extraño en el consumo del ventilador ayer', aligning with the Expected Output. It accurately infers the implicit context 'en el consumo del ventilador' for the second intention. Both intentions are correctly classified into 'consumo_basico' and 'deteccion_anomalias_tendencias' respectively, matching the Expected Output. Furthermore, the 'notas' field provides clear and consistent reasoning for the decomposition and classification, demonstrating strong internal coherence.</t>
  </si>
  <si>
    <t>The model correctly decomposes the input into two independent intentions, 'Dime el consumo del televisor ayer' and 'Analiza si su consumo va en aumento', aligning perfectly with the expected output's decomposition. It accurately classifies the first intention as 'consumo_basico' and the second as 'deteccion_anomalias_tendencias', which are correct according to the expected classifications. The 'notas' field provides clear and consistent reasoning for both the segmentation and the scenario classifications, demonstrating strong internal coherence. No information was invented, and implicit intentions were correctly handled.</t>
  </si>
  <si>
    <t>The model correctly decomposes the input into two independent intentions without inventing information (A1, A2). Both intentions, 'Dime el consumo del aire acondicionado la semana pasada' and 'analiza si hubo anomalías', are correctly classified into 'consumo_basico' and 'deteccion_anomalias_tendencias' respectively (B1). The internal coherence is strong, with the 'notas' field providing clear and consistent reasoning for each classification, demonstrating an understanding of the implicit context for the anomaly detection (A4). While the second request's phrasing 'analiza si hubo anomalías' is less explicit about the device and timeframe than the Expected Output, the correct classification and the explanation in the 'notas' confirm the model's adequate inference of the implicit intention (A3).</t>
  </si>
  <si>
    <t>The model accurately decomposed the input into two distinct and independent intentions, '¿Cuánto consumió la lavadora el sábado?' and '¿Fue el consumo de la lavadora el sábado mayor que el del domingo?', without introducing any invented information. It correctly inferred the implicit comparative nature of the second intention. Both decomposed intentions were correctly classified into 'consumo_basico' and 'comparacion_consumos' respectively, aligning perfectly with the expected output. Additionally, the 'notas' field provided clear, consistent, and coherent reasoning for each classification, demonstrating strong internal coherence.</t>
  </si>
  <si>
    <t>The model successfully decomposes the input 'Quiero saber el consumo de mi PC esta semana y luego compararlo con la semana pasada' into two independent requests, '@1' and '@2', without inventing any information (A1, A2). The inferred intentions for both requests, 'Quiero saber el consumo de mi PC esta semana' and 'Quiero comparar el consumo de mi PC esta semana con la semana pasada', accurately align with the expected output's interpretation (A3). Furthermore, both requests are correctly classified into their respective scenarios, 'consumo_basico' and 'comparacion_consumos', matching the expected output (B1). The 'notas' field provides a clear and coherent explanation for the scenario assignments, demonstrating strong internal consistency (A4).</t>
  </si>
  <si>
    <t>The model successfully decomposes the input into two independent requests, '@1' for consumption and '@2' for a subjective evaluation, without inventing any information (A1, A2). The inferred intentions for both requests in the 'Actual Output' ('Dime el consumo del aire acondicionado ayer' and 'dime si eso significa que soy irresponsable') accurately align with the 'Expected Output's interpretation ('Consultar el consumo energético del aire acondicionado durante el día de ayer.' and 'Evaluar la responsabilidad personal a partir del consumo energético.') (A3). Furthermore, both requests are correctly classified into their respective scenarios: '@1' as 'consumo_basico' and '@2' as 'entrada_inadmisible', matching the 'Expected Output' (B1). The 'notas' field provides clear and coherent explanations for each classification, demonstrating strong internal consistency (A4).</t>
  </si>
  <si>
    <t>The model correctly decomposes the input into two distinct intentions and does not invent information (A1, A2). The internal coherence of the 'notas' field is also maintained, as the reasoning aligns with the classifications provided in the actual output (A4). However, the model incorrectly classifies the second intention, 'si ha ido aumentando en el año', as 'comparacion_consumos'. The Expected Output correctly identifies this as 'deteccion_anomalias_tendencias', which is a more precise classification for analyzing a trend over a year. This misclassification of one request (B1 incorrect) places the score in the 5-7 range.</t>
  </si>
  <si>
    <t>The model correctly decomposes the input 'Dime el consumo de mi nevera ayer y luego compáralo con el consumo del sábado pasado' into two independent requests without inventing information (A1, A2). It accurately interprets the user's intentions for both requests, semantically aligning with the Expected Output (A3). The model correctly assigns 'consumo_basico' to the first request and 'comparacion_consumos' to the second request, which aligns with the inferred intentions and Expected Output (B1). Furthermore, the 'notas' field provides a clear and coherent explanation for the decomposition and scenario assignments (A4).</t>
  </si>
  <si>
    <t>El modelo descompone correctamente la solicitud del usuario 'Obtén el consumo del televisor ayer y compáralo con el de hoy' en tres peticiones individuales, sin inventar información y alineándose semánticamente con el `Expected Output`. Las solicitudes '@1' y '@2' se clasifican correctamente como 'consumo_basico', y la solicitud '@3' como 'comparacion_consumos', lo cual coincide con el `Expected Output`. Además, el campo 'notas' del `Actual Output` es claro y coherente, explicando detalladamente el razonamiento detrás de la descomposición y la asignación de escenarios.</t>
  </si>
  <si>
    <t>The model correctly identifies the core intentions of consulting consumption and performing a comparison, and its 'notas' are clear and coherent with its output. However, it over-decomposes the input by creating a separate request for 'Dime el consumo del aire acondicionado la semana pasada' (`@2`, escenario 'consumo_basico'). The Expected Output indicates that the comparison request (`@2` in Expected Output, escenario 'comparacion_consumos') should implicitly handle fetching the consumption for both periods (this week and last week). This leads to a misalignment in the interpretation and decomposition (A1, A3) and an incorrect classification of an implicit data retrieval as a standalone 'consumo_basico' request (B1), rather than integrating it within the comparison scenario.</t>
  </si>
  <si>
    <t>The model correctly decomposes the input into two independent intentions (A1) and infers implicit intentions (A3). Both scenario classifications ('consumo_basico' and 'deteccion_anomalias_tendencias') are correct according to the ESCENARIOS_CONTEXTO and Expected Output (B1). The reasoning in the 'notas' field is clear and consistent with the identified requests and classifications (A4). However, the model explicitly states '2026-01-10' for 'ayer' in the 'solicitud' fields, which is information not present in the original input, thus failing criterion A2 ('sin inventar información'). This specific invention, despite the overall strong performance on other criteria, places the score in the 0-4 range as per the rubric.</t>
  </si>
  <si>
    <t>The model correctly decomposes the input into two independent intentions and does not invent any information (A1, A2). Both intentions are correctly classified into their respective scenarios, 'consumo_basico' and 'comparacion_consumos' (B1). The reasoning provided in the 'notas' field is clear and consistent with the identified requests and their classifications (A4). However, for the second intention, '¿Cuál consumió más, la nevera o el horno?', the model's 'solicitud' does not explicitly infer and include the temporal context 'ayer' from the first part of the input, unlike the Expected Output which specifies 'durante el día de ayer' for the comparison. This indicates a minor shortcoming in fully inferring all implicit intentions (A3) within the 'solicitud' field itself, preventing a perfect score.</t>
  </si>
  <si>
    <t>The model correctly decomposes the input '¿Cuánto consumieron la nevera y el televisor ayer y cuál fue mayor?' into three distinct intentions: individual consumption for the refrigerator, individual consumption for the television, and a comparison between the two. It does not invent information (A1, A2). Each decomposed intention is correctly classified into its respective scenario ('consumo_basico' for individual consumption and 'comparacion_consumos' for the comparison), aligning perfectly with the Expected Output (B1). The 'notas' field provides a clear and consistent explanation for the identified requests and their classifications, demonstrating strong internal coherence (A4).</t>
  </si>
  <si>
    <t>The model correctly decomposes the input into three distinct, independent intentions, aligning perfectly with the Expected Output (A1). It does not invent any information (A2). Each decomposed intention is assigned the correct scenario classification ('consumo_basico', 'comparacion_consumos', 'deteccion_anomalias_tendencias'), matching the Expected Output (B1). Implicit intentions are correctly inferred (A3). Finally, the 'notas' field provides a clear and consistent explanation for the decomposition and classification, demonstrating strong internal coherence (A4).</t>
  </si>
  <si>
    <t>The model correctly decomposes the input 'Dime el consumo del aire acondicionado esta semana, compáralo con la anterior y analiza la tendencia' into three distinct and independent intentions. It does not invent any information (A1, A2). Each intention is accurately classified into its respective scenario: 'consumo_basico', 'comparacion_consumos', and 'deteccion_anomalias_tendencias', aligning perfectly with the expected output and correctly inferring implicit intentions like 'semana anterior' (B1, A3). Furthermore, the 'notas' field provides clear and consistent reasoning for both the decomposition and the scenario classifications, demonstrating strong internal coherence (A4).</t>
  </si>
  <si>
    <t>The model correctly decomposes the input into three independent intentions: '¿Cuánto consumió mi casa en octubre?', '¿Cómo se compara con noviembre?', and '¿Hubo algún pico raro?', aligning with A1 and A2. Each intention is accurately classified into its respective scenario ('consumo_basico', 'comparacion_consumos', 'deteccion_anomalias_tendencias'), fulfilling B1. The model also correctly infers the implicit nature of the comparison and anomaly detection by assigning the correct scenarios (A3). Furthermore, the 'notas' field provides clear and consistent reasoning for each classification, demonstrating strong internal coherence (A4). All evaluation criteria are met without any shortcomings.</t>
  </si>
  <si>
    <t>The model correctly decomposes the input into two independent intentions (A1) and does not invent information (A2). Both intentions are correctly classified into their respective scenarios: 'consumo_basico' for the first request and 'deteccion_anomalias_tendencias' for the second (B1). The reasoning provided in the 'notas' field is clear and consistent with the identified requests and their classifications (A4). However, for the second intention, the actual output's 'solicitud' field ("saber si hay alguna anomalía") does not fully infer the implicit context of "del horno este mes" into the request text itself, unlike the expected output which explicitly adds "en el consumo energético del horno durante el mes actual" (A3). While the scenario classification correctly captures the implicit intention, the textual representation in the 'solicitud' field could be more complete.</t>
  </si>
  <si>
    <t>The model correctly decomposes the input into three independent requests, accurately inferring the subjects for the comparison request. It does not invent any information, and the inferred intentions for each request align perfectly with the Expected Output. Furthermore, all three requests are correctly classified into their respective scenarios ('consumo_basico' for the individual consumption queries and 'comparacion_consumos' for the comparison), matching the Expected Output. The 'notas' field provides a clear and coherent explanation for the decomposition and scenario assignments.</t>
  </si>
  <si>
    <t>The model correctly decomposes the input into three distinct intentions and does not invent information. The first two intentions, 'Dime el consumo de mi nevera ayer' and 'compárala con la lavadora', are correctly classified as 'consumo_basico' and 'comparacion_consumos' respectively, aligning with the Expected Output. The internal reasoning provided in the 'notas' field is consistent with these classifications. However, the third intention, 'dime si con eso ya puedo ahorrar para irme de viaje', is incorrectly classified as 'prediccion_estimacion'. The Expected Output clearly indicates this as 'entrada_inadmisible', suggesting it is outside the system's domain. This single incorrect scenario classification prevents a higher score, placing it in the 5-7 range according to the rubric.</t>
  </si>
  <si>
    <t>The model correctly decomposes the input into four independent requests, accurately inferring implicit details like 'ayer' for the second consumption query and 'anormal' for anomaly detection. It avoids inventing information (A1, A2, A3). All four requests are correctly classified into their respective scenarios ('consumo_basico', 'comparacion_consumos', 'deteccion_anomalias_tendencias'), aligning perfectly with the expected output (B1). The 'notas' field provides a clear, coherent, and detailed explanation for each categorization, referencing specific elements from the input (A4).</t>
  </si>
  <si>
    <t>The model correctly decomposes the input into three distinct intentions and maintains strong internal coherence in its 'notas' field, aligning its reasoning with the identified requests and their classifications. However, it incorrectly classifies the intention 'Comparar consumos de este año con el anterior' under the scenario 'comparacion_consumos'. The expected output indicates that analyzing annual trends, which is implied by 'si ha aumentado este año', should fall under 'deteccion_anomalias_tendencias', making the model's classification for this specific intention incorrect.</t>
  </si>
  <si>
    <t>The model successfully decomposes the input 'Dime el consumo del horno este mes, analiza si hay anomalías y dime si va en aumento' into three independent requests and does not invent information (A1, A2). The inferred intentions for each request align well with the expected output (A3), and the 'notas' field provides clear and coherent explanations (A4). However, the model incorrectly assigns the scenario for the third request, 'tendencia del consumo del horno'. While the actual output classifies it as 'prediccion_estimacion', the expected output correctly identifies it as 'deteccion_anomalias_tendencias', as the input 'dime si va en aumento' asks for an analysis of the current trend rather than a future forecast. This single incorrect scenario classification (B1) places the response in the 5-7 range of the rubric.</t>
  </si>
  <si>
    <t>The model correctly decomposes the input into three distinct intentions (A1) and does not invent information (A2). All scenario classifications are correct according to the Expected Output (B1), and the internal coherence of the 'notas' field is excellent (A4). However, the model does not fully infer all implicit contextual details from the input into the `solicitud` fields for intentions '@2' and '@3' (A3). Specifically, it omits the temporal context 'ayer' for the comparison and anomaly detection, and the full scope of devices 'nevera y lavadora' for anomaly detection, unlike the Expected Output. Despite this minor shortcoming in the completeness of implicit inference, the overall decomposition, classification, and coherence are strong, warranting a high score.</t>
  </si>
  <si>
    <t>The model correctly decomposes the input into individual requests (A1), avoids inventing information (A2), and accurately classifies each request into its respective scenario (B1). The 'notas' field is also clear and coherent (A4). However, the model fails to adequately infer and carry over the implicit context from the initial part of the input ("lavadora el fin de semana") to the subsequent requests for comparison and anomaly detection. Specifically, requests '@2' and '@3' in the `Actual Output` are underspecified compared to the `Expected Output`, which correctly includes the devices (lavadora, horno) and timeframe (fin de semana) for these actions. This indicates an insufficient quality in semantic interpretation (A3).</t>
  </si>
  <si>
    <t xml:space="preserve"> {'@1': {'solicitud': 'Consultar el consumo energético del aire acondicionado durante la mañana de ayer.', 'escenario': 'consumo_basico'}, '@2': {'solicitud': 'Consultar el consumo energético del aire acondicionado durante la noche de ayer.', 'escenario': 'consumo_basico'}} | notas: Ambas solicitudes buscan obtener valores específicos de consumo energético ya registrados para un dispositivo (aire acondicionado) en intervalos temporales claramente definidos (mañana y noche de ayer). No implican comparaciones, análisis de patrones, predicciones ni detección de anomalías, por lo tanto, se ajustan al escenario 'consumo_basico'.</t>
  </si>
  <si>
    <t xml:space="preserve"> {'@1': {'solicitud': 'Determinar la satisfacción o felicidad asociada al consumo energético del hogar durante el día de ayer.', 'escenario': 'entrada_inadmisible'}} | notas: La solicitud hace una pregunta abstracta y antropomórfica ("qué tan feliz estuvo mi casa") en relación con el consumo energético, lo cual no se corresponde con ninguno de los escenarios técnicos definidos. No se busca un valor cuantitativo, ni comparación, ni detección de anomalías, ni predicción, sino una interpretación emocional o subjetiva que está fuera del dominio del sistema.</t>
  </si>
  <si>
    <t xml:space="preserve"> {'@1': {'solicitud': 'Obtener el valor total del consumo energético registrado en todo el hogar durante el mes de marzo de 2024.', 'escenario': 'consumo_basico'}} | notas: La solicitud busca un valor cuantitativo específico del consumo energético total del hogar durante un periodo explícito (marzo de 2024), lo cual encaja con el escenario "consumo_basico", ya que se trata de consultar un dato histórico registrado sin realizar análisis comparativos, detección de anomalías ni predicciones.</t>
  </si>
  <si>
    <t xml:space="preserve"> {'@1': {'solicitud': '¿Cuánto consumió el aire acondicionado el fin de semana pasado?', 'escenario': 'consumo_basico'}} | notas: La solicitud busca un valor cuantitativo específico del consumo energético de un dispositivo (aire acondicionado) en un periodo de tiempo claramente inferible (fin de semana pasado). No se plantea una comparación, análisis de tendencias ni predicción, sino la consulta directa de un dato histórico, lo cual encaja en el escenario "consumo_basico".</t>
  </si>
  <si>
    <t xml:space="preserve"> {'@1': {'solicitud': 'Dime el consumo de mi televisor ayer', 'escenario': 'consumo_basico'}, '@2': {'solicitud': 'Dime si el consumo de mi televisor ayer fue moralmente correcto', 'escenario': 'entrada_inadmisible'}} | notas: La primera solicitud busca un valor cuantitativo específico de consumo energético para un dispositivo y un periodo de tiempo concreto (ayer), lo cual encaja en el escenario 'consumo_basico'. La segunda solicitud introduce un juicio moral subjetivo que no puede ser determinado por el sistema de análisis de consumo energético del hogar, por lo tanto corresponde al escenario 'entrada_inadmisible'.</t>
  </si>
  <si>
    <t xml:space="preserve"> {'@1': {'solicitud': 'Consultar el consumo energético registrado para el computador durante el día de hoy.', 'escenario': 'consumo_basico'}} | notas: La solicitud se enfoca en obtener un valor específico de consumo energético para un dispositivo particular (computador) en un periodo de tiempo claramente definido (hoy). Esto corresponde al escenario "consumo_basico", ya que no implica comparaciones, análisis de tendencias, predicciones ni está fuera del dominio del sistema.</t>
  </si>
  <si>
    <t xml:space="preserve"> {'@1': {'solicitud': 'Consultar el consumo energético registrado para la nevera durante el día de ayer.', 'escenario': 'consumo_basico'}, '@2': {'solicitud': 'Consultar el consumo energético registrado para la lavadora durante el día de ayer.', 'escenario': 'consumo_basico'}} | notas: Ambas solicitudes buscan obtener valores puntuales de consumo ya registrados para un dispositivo específico en un periodo de tiempo explícito (ayer). No implican comparaciones, análisis de tendencias ni predicciones, por lo que encajan claramente en el escenario "consumo_basico".</t>
  </si>
  <si>
    <t xml:space="preserve"> {'@1': {'solicitud': 'Mostrar el consumo energético del ventilador durante el día de ayer (10 de enero de 2026).', 'escenario': 'consumo_basico'}} | notas: La solicitud busca un valor de consumo energético ya registrado para un dispositivo específico (ventilador) en un periodo de tiempo explícito (el día de ayer), lo cual encaja con el escenario "consumo_basico".</t>
  </si>
  <si>
    <t xml:space="preserve"> {'@1': {'solicitud': '¿Cuánto consumió mi nevera durante el mes de enero?', 'escenario': 'consumo_basico'}} | notas: La solicitud busca un valor cuantitativo específico de consumo energético (cuánto consumió) referido a un dispositivo particular (la nevera) en un periodo explícito (el mes de enero). Esto encaja directamente con el escenario "consumo_basico", ya que no implica comparaciones, análisis de tendencias, ni proyecciones; simplemente se trata de obtener un dato histórico de consumo.</t>
  </si>
  <si>
    <t xml:space="preserve"> {'@1': {'solicitud': 'Quiero saber el consumo de mi nevera el domingo.', 'escenario': 'consumo_basico'}, '@2': {'solicitud': 'Quiero saber el consumo de mi lavadora el domingo.', 'escenario': 'consumo_basico'}, '@3': {'solicitud': 'Quiero saber el consumo de mi secadora el domingo.', 'escenario': 'consumo_basico'}} | notas: Las tres solicitudes buscan consultar valores específicos de consumo energético para dispositivos concretos (nevera, lavadora y secadora) en un día determinado (domingo). Se ajustan al escenario 'consumo_basico' ya que la intención es acceder a datos puntuales de consumo ya registrados dentro de un intervalo temporal explícito.</t>
  </si>
  <si>
    <t xml:space="preserve"> {'@1': {'solicitud': 'Consulta del consumo energético del horno el 15 de noviembre de 2025.', 'escenario': 'consumo_basico'}} | notas: La solicitud busca un valor específico de consumo energético registrado para un dispositivo (el horno) en una fecha concreta (el 15 de noviembre). No implica análisis, comparaciones ni predicciones, por lo que se ajusta al escenario "consumo_basico".</t>
  </si>
  <si>
    <t xml:space="preserve"> {'@1': {'solicitud': 'Dime el consumo del ventilador esta semana.', 'escenario': 'consumo_basico'}, '@2': {'solicitud': 'Dime el consumo de la lavadora la semana pasada.', 'escenario': 'consumo_basico'}} | notas: Ambas solicitudes buscan consultar valores específicos de consumo energético ya registrado, vinculados a un dispositivo y un periodo de tiempo claramente identificable (esta semana y la semana pasada respectivamente). No implican comparaciones, análisis de tendencias ni proyecciones. Por ello, ambas encajan en el escenario "consumo_basico".</t>
  </si>
  <si>
    <t xml:space="preserve"> {'@1': {'solicitud': 'Consultar el consumo energético registrado para la lavadora durante el día completo del lunes pasado (2026-01-05).', 'escenario': 'consumo_basico'}} | notas: La solicitud busca obtener un valor de consumo energético específico (de la lavadora) en un periodo de tiempo claramente definido (el lunes pasado), lo cual encaja directamente con el escenario "consumo_basico", ya que se trata de una consulta puntual sobre un dato registrado.</t>
  </si>
  <si>
    <t xml:space="preserve"> {'@1': {'solicitud': 'Consultar el consumo energético registrado del televisor el sábado pasado.', 'escenario': 'consumo_basico'}, '@2': {'solicitud': 'Consultar el consumo energético registrado del computador el sábado pasado.', 'escenario': 'consumo_basico'}} | notas: La solicitud del usuario se centra en obtener valores específicos de consumo energético de dos dispositivos (televisor y computador) para un periodo explícito (el sábado pasado). Esto encaja directamente en el escenario "consumo_basico", ya que se está pidiendo un dato cuantitativo puntual de consumo registrado, sin realizar comparaciones, análisis de tendencias ni proyecciones.</t>
  </si>
  <si>
    <t xml:space="preserve"> {'@1': {'solicitud': '¿Cuánto consumió mi casa el lunes?', 'escenario': 'consumo_basico'}, '@2': {'solicitud': '¿Cuánto consumió mi casa el martes?', 'escenario': 'consumo_basico'}} | notas: Ambas solicitudes preguntan por valores específicos de consumo energético en días concretos (lunes y martes). Se trata de consultas puntuales sobre datos históricos sin intención de comparar, predecir o analizar tendencias. Por lo tanto, ambas encajan claramente en el escenario "consumo_basico".</t>
  </si>
  <si>
    <t xml:space="preserve"> {'@1': {'solicitud': 'Consultar el consumo energético registrado por el televisor durante la noche del día anterior (ayer).', 'escenario': 'consumo_basico'}} | notas: La solicitud busca obtener un valor específico de consumo energético ya registrado para un dispositivo (televisor) en un periodo de tiempo claramente definido (ayer en la noche). No se realiza ninguna comparación, ni se infiere o estima el consumo, por lo tanto corresponde al escenario 'consumo_basico'.</t>
  </si>
  <si>
    <t xml:space="preserve"> {'@1': {'solicitud': '¿Cuánto consumió mi casa en junio de 2026?', 'escenario': 'consumo_basico'}, '@2': {'solicitud': '¿Cuánto consumió mi casa en julio de 2026?', 'escenario': 'consumo_basico'}, '@3': {'solicitud': '¿Cuánto consumió mi casa en agosto de 2026?', 'escenario': 'consumo_basico'}} | notas: Las tres solicitudes buscan consultar valores específicos de consumo energético para períodos concretos (meses de junio, julio y agosto del año en curso, 2026). No implican comparaciones, análisis de tendencias ni proyecciones, sino simplemente la obtención de datos ya registrados, por lo que se clasifican adecuadamente bajo el escenario 'consumo_basico'.</t>
  </si>
  <si>
    <t xml:space="preserve"> {'@1': {'solicitud': 'Consultar el consumo total de energía eléctrica en kWh del hogar completo durante la semana pasada (del 29 de diciembre de 2025 al 4 de enero de 2026)', 'escenario': 'consumo_basico'}} | notas: La solicitud busca un valor cuantitativo específico (kWh consumidos) correspondiente a un periodo de tiempo claramente definido (la semana pasada), sin realizar comparaciones ni análisis adicionales. Por lo tanto, encaja en el escenario 'consumo_basico'.</t>
  </si>
  <si>
    <t xml:space="preserve"> {'@1': {'solicitud': 'Consultar el consumo energético registrado ayer para el PC, el monitor y el router.', 'escenario': 'consumo_basico'}} | notas: La solicitud del usuario busca obtener valores históricos de consumo energético para dispositivos específicos (PC, monitor, router) dentro de un periodo de tiempo claramente definido (ayer). Esto encaja con el escenario "consumo_basico" porque se centra en acceder a datos puntuales ya registrados sin realizar comparaciones, análisis o inferencias.</t>
  </si>
  <si>
    <t xml:space="preserve"> {'@1': {'solicitud': 'Mostrar el consumo del horno en enero', 'escenario': 'consumo_basico'}, '@2': {'solicitud': 'Mostrar el consumo del horno en febrero', 'escenario': 'consumo_basico'}} | notas: Ambas solicitudes buscan consultar valores de consumo energético ya registrados para un dispositivo específico (el horno) en intervalos temporales explícitos (enero y febrero). No hay intención de comparar, analizar tendencias, o predecir; se trata de solicitudes de datos históricos puntuales. Por lo tanto, se categorizan como 'consumo_basico'.</t>
  </si>
  <si>
    <t xml:space="preserve"> {'@1': {'solicitud': 'Quiero saber el consumo del ventilador ayer.', 'escenario': 'consumo_basico'}, '@2': {'solicitud': 'Quiero saber si hubo algún pico extraño en el consumo ayer.', 'escenario': 'deteccion_anomalias_tendencias'}} | notas: La primera solicitud busca un valor de consumo específico (del ventilador) dentro de un periodo definido (ayer), lo cual encaja en el escenario 'consumo_basico'. La segunda solicitud indaga sobre la existencia de picos o comportamientos anómalos en el consumo, lo cual se ajusta al escenario 'deteccion_anomalias_tendencias'.</t>
  </si>
  <si>
    <t xml:space="preserve"> {'@1': {'solicitud': 'Dime el consumo del aire acondicionado ayer.', 'escenario': 'consumo_basico'}, '@2': {'solicitud': 'Dime si eso significa que soy irresponsable.', 'escenario': 'entrada_inadmisible'}} | notas: La primera solicitud busca un valor de consumo específico (del aire acondicionado) para un periodo claramente definido (ayer), encajando en el escenario 'consumo_basico'. La segunda solicitud tiene un componente subjetivo (evaluar si el usuario es irresponsable) que no se relaciona con ninguna funcionalidad del sistema de gestión energética, por lo tanto se clasifica como 'entrada_inadmisible'.</t>
  </si>
  <si>
    <t xml:space="preserve"> {'@1': {'solicitud': 'Quiero el consumo del horno este mes.', 'escenario': 'consumo_basico'}, '@2': {'solicitud': 'Quiero saber si hay alguna anomalía en el consumo del horno este mes.', 'escenario': 'deteccion_anomalias_tendencias'}} | notas: La primera solicitud se enfoca en obtener un valor específico de consumo energético del horno dentro de un periodo de tiempo claro (este mes), lo cual encaja en el escenario "consumo_basico". La segunda solicitud busca identificar comportamientos anómalos en el consumo del mismo dispositivo durante el mismo periodo, lo cual corresponde al escenario "deteccion_anomalias_tendencias".</t>
  </si>
  <si>
    <t xml:space="preserve"> {'@1': {'solicitud': '¿Cuánto consumió mi PC ayer?', 'escenario': 'consumo_basico'}, '@2': {'solicitud': '¿Ha venido aumentando el consumo de mi PC este mes?', 'escenario': 'deteccion_anomalias_tendencias'}} | notas: La primera solicitud busca un valor cuantitativo de consumo registrado para un dispositivo específico (PC) en un periodo explícito (ayer), lo cual encaja en el escenario 'consumo_basico'. La segunda solicitud indaga sobre una tendencia sostenida en el consumo durante un periodo (este mes), lo que implica análisis de patrones temporales y corresponde al escenario 'deteccion_anomalias_tendencias'.</t>
  </si>
  <si>
    <t xml:space="preserve"> {'@1': {'solicitud': '¿Cuánto consumió mi nevera ayer?', 'escenario': 'consumo_basico'}, '@2': {'solicitud': 'Compara el consumo de mi nevera con el de la lavadora durante ayer.', 'escenario': 'comparacion_consumos'}, '@3': {'solicitud': 'Dime si hubo picos raros en el consumo de mi nevera o de la lavadora ayer.', 'escenario': 'deteccion_anomalias_tendencias'}} | notas: La solicitud original se desglosa en tres intenciones claramente diferenciadas: (1) Consultar el consumo histórico de un dispositivo específico (la nevera) durante un día definido, lo cual se ajusta al escenario "consumo_basico". (2) Comparar el consumo entre dos dispositivos (nevera vs. lavadora) en un periodo común, encajando en "comparacion_consumos". (3) Evaluar la presencia de comportamientos anómalos en el consumo de dichos dispositivos, lo que corresponde a "deteccion_anomalias_tendencias".</t>
  </si>
  <si>
    <t xml:space="preserve"> {'@1': {'solicitud': 'Dime el consumo del aire acondicionado la semana pasada.', 'escenario': 'consumo_basico'}, '@2': {'solicitud': 'Analiza si hubo anomalías en el consumo del aire acondicionado la semana pasada.', 'escenario': 'deteccion_anomalias_tendencias'}} | notas: La primera solicitud busca un valor cuantitativo específico (consumo del aire acondicionado) dentro de un periodo de tiempo claramente inferible (la semana pasada), lo cual encaja con el escenario 'consumo_basico'. La segunda solicitud pide identificar comportamientos anómalos o irregulares en el consumo energético durante un periodo definido, lo cual corresponde al escenario 'deteccion_anomalias_tendencias'.</t>
  </si>
  <si>
    <t xml:space="preserve"> {'@1': {'solicitud': 'Consultar el consumo energético total de la vivienda durante el mes actual (enero de 2026).', 'escenario': 'consumo_basico'}, '@2': {'solicitud': 'Comparar el consumo energético del mes actual (enero de 2026) con el del mes inmediatamente anterior (diciembre de 2025) para determinar si hubo un aumento.', 'escenario': 'comparacion_consumos'}} | notas: La primera solicitud se enfoca en obtener un valor específico de consumo energético para un periodo definido (enero de 2026), lo cual corresponde al escenario 'consumo_basico'. La segunda solicitud busca comparar dos periodos distintos para identificar una diferencia relativa, clasificándose como 'comparacion_consumos'.</t>
  </si>
  <si>
    <t xml:space="preserve"> {'@1': {'solicitud': 'Dime el consumo del televisor ayer.', 'escenario': 'consumo_basico'}, '@2': {'solicitud': 'Analiza si su consumo va en aumento.', 'escenario': 'deteccion_anomalias_tendencias'}} | notas: La primera solicitud se enfoca en obtener un valor específico de consumo energético (del televisor) para un periodo definido (ayer), lo cual encaja claramente en el escenario "consumo_basico". La segunda solicitud busca identificar una tendencia (aumento) en el consumo a lo largo del tiempo, lo cual corresponde al escenario "deteccion_anomalias_tendencias", ya que implica análisis de patrones temporales.</t>
  </si>
  <si>
    <t xml:space="preserve"> {'@1': {'solicitud': '¿Cuánto consumió mi casa en noviembre?', 'escenario': 'consumo_basico'}, '@2': {'solicitud': '¿Cómo se compara el consumo de mi casa en noviembre con el de octubre?', 'escenario': 'comparacion_consumos'}} | notas: La primera parte de la solicitud pregunta por el valor de consumo energético registrado en un periodo específico (noviembre), lo cual encaja con el escenario "consumo_basico". La segunda parte busca una comparación directa entre dos periodos (noviembre y octubre), lo cual se alinea con el escenario "comparacion_consumos".</t>
  </si>
  <si>
    <t xml:space="preserve"> {'@1': {'solicitud': 'Dime el consumo del horno ayer', 'escenario': 'consumo_basico'}, '@2': {'solicitud': 'Dime si el consumo del horno ayer fue anormal', 'escenario': 'deteccion_anomalias_tendencias'}} | notas: La primera solicitud pide un valor cuantitativo específico de consumo energético para un dispositivo (el horno) en un periodo de tiempo claro (ayer), lo cual se ajusta al escenario 'consumo_basico'. La segunda solicitud busca determinar si ese consumo fue anormal, lo que implica analizar patrones y detectar comportamientos atípicos, característica del escenario 'deteccion_anomalias_tendencias'.</t>
  </si>
  <si>
    <t xml:space="preserve"> {'@1': {'solicitud': '¿Cuánto consumió la lavadora el sábado?', 'escenario': 'consumo_basico'}, '@2': {'solicitud': '¿El consumo de la lavadora el sábado fue más que el domingo?', 'escenario': 'comparacion_consumos'}} | notas: La primera parte de la consulta pregunta por el consumo registrado de un dispositivo específico (lavadora) en un día determinado (sábado), lo cual encaja con el escenario "consumo_basico" ya que se solicita un valor histórico concreto. La segunda parte introduce una comparación explícita entre dos días (sábado vs domingo), buscando determinar cuál tuvo mayor consumo, lo cual corresponde al escenario "comparacion_consumos".</t>
  </si>
  <si>
    <t xml:space="preserve"> {'@1': {'solicitud': 'Dime el consumo de mi nevera ayer.', 'escenario': 'consumo_basico'}, '@2': {'solicitud': 'Compara el consumo de mi nevera ayer con el consumo del sábado pasado.', 'escenario': 'comparacion_consumos'}} | notas: La primera solicitud pregunta por un valor de consumo energético registrado (ayer) para un dispositivo específico (la nevera), sin realizar comparaciones ni análisis adicionales, por lo que encaja en el escenario 'consumo_basico'. La segunda solicitud busca comparar dos valores de consumo (ayer vs. sábado pasado) para el mismo dispositivo, utilizando un lenguaje comparativo explícito, lo cual corresponde al escenario 'comparacion_consumos'.</t>
  </si>
  <si>
    <t xml:space="preserve"> {'@1': {'solicitud': 'Quiero saber el consumo de mi PC esta semana.', 'escenario': 'consumo_basico'}, '@2': {'solicitud': 'Quiero comparar el consumo de mi PC de esta semana con la semana pasada.', 'escenario': 'comparacion_consumos'}} | notas: La primera solicitud pide un valor cuantitativo de consumo energético para un dispositivo específico (PC) en un periodo explícito (esta semana), encajando en el escenario 'consumo_basico'. La segunda solicitud busca comparar dos periodos de tiempo distintos para el mismo dispositivo, lo cual se ajusta claramente al escenario 'comparacion_consumos'.</t>
  </si>
  <si>
    <t xml:space="preserve"> {'@1': {'solicitud': 'Quiero saber el consumo del ventilador este mes.', 'escenario': 'consumo_basico'}, '@2': {'solicitud': '¿La tendencia del consumo del ventilador este mes es creciente?', 'escenario': 'deteccion_anomalias_tendencias'}} | notas: La primera solicitud se enfoca en obtener un valor específico de consumo energético (del ventilador en este mes), lo cual encaja en el escenario 'consumo_basico'. La segunda solicitud busca analizar si dicho consumo presenta una tendencia (en este caso, creciente), lo cual implica un análisis de patrones en los datos y se clasifica como 'deteccion_anomalias_tendencias'.</t>
  </si>
  <si>
    <t xml:space="preserve"> {'@1': {'solicitud': 'Dime cuánto consumió la lavadora el lunes', 'escenario': 'consumo_basico'}, '@2': {'solicitud': 'Compara el consumo de la lavadora del lunes con el del martes', 'escenario': 'comparacion_consumos'}} | notas: La primera solicitud busca un valor de consumo específico para un dispositivo (lavadora) en un día determinado (lunes), lo cual corresponde al escenario 'consumo_basico'. La segunda solicitud pide una comparación entre dos valores de consumo en diferentes días, lo cual encaja claramente en el escenario 'comparacion_consumos'.</t>
  </si>
  <si>
    <t xml:space="preserve"> {'@1': {'solicitud': 'Obtener el consumo del televisor ayer', 'escenario': 'consumo_basico'}, '@2': {'solicitud': 'Obtener el consumo del televisor hoy', 'escenario': 'consumo_basico'}, '@3': {'solicitud': 'Comparar el consumo del televisor de ayer con el de hoy', 'escenario': 'comparacion_consumos'}} | notas: La solicitud inicial abarca tanto la obtención de datos de consumo como una comparación. Se divide en tres partes: dos solicitudes específicas para obtener el consumo del televisor en dos días distintos (ayer y hoy), clasificadas como 'consumo_basico' porque implican consultar valores históricos puntuales. La tercera parte corresponde explícitamente a una comparación entre dos periodos, por lo que se clasifica como 'comparacion_consumos'.</t>
  </si>
  <si>
    <t xml:space="preserve"> {'@1': {'solicitud': 'Consultar el consumo total de la casa en el año 2025.', 'escenario': 'consumo_basico'}, '@2': {'solicitud': 'Determinar si el consumo total de la casa ha aumentado durante el año 2025.', 'escenario': 'deteccion_anomalias_tendencias'}} | notas: La primera solicitud busca un valor cuantitativo específico del consumo energético para un periodo definido (el año 2025), sin realizar comparaciones ni análisis adicionales, por lo tanto se asigna al escenario 'consumo_basico'. La segunda solicitud implica analizar una tendencia sostenida en el tiempo para detectar aumentos en el consumo, lo cual se alinea con el escenario 'deteccion_anomalias_tendencias'.</t>
  </si>
  <si>
    <t xml:space="preserve"> {'@1': {'solicitud': 'Consultar el consumo energético registrado para la nevera durante el día de ayer.', 'escenario': 'consumo_basico'}, '@2': {'solicitud': 'Consultar el consumo energético registrado para la lavadora durante el día de ayer.', 'escenario': 'consumo_basico'}, '@3': {'solicitud': 'Comparar el consumo energético registrado ayer entre la nevera y la lavadora para identificar cuál de los dos consumió más energía.', 'escenario': 'comparacion_consumos'}, '@4': {'solicitud': 'Evaluar si el consumo registrado ayer para la nevera o la lavadora presenta algún comportamiento anómalo o inusual con respecto a su funcionamiento típico.', 'escenario': 'deteccion_anomalias_tendencias'}} | notas: La solicitud del usuario se puede dividir en varias intenciones claramente diferenciadas. Primero, se piden dos valores específicos de consumo para dos dispositivos en un periodo definido (ayer), lo cual encaja en el escenario 'consumo_basico'. Luego, se pide una comparación directa entre ambos consumos, lo cual corresponde al escenario 'comparacion_consumos'. Finalmente, se solicita una evaluación de posibles comportamientos anómalos, lo cual implica un análisis de los datos históricos más allá de un simple valor, correspondiendo al escenario 'deteccion_anomalias_tendencias'.</t>
  </si>
  <si>
    <t xml:space="preserve"> {'@1': {'solicitud': '¿Cuánto consumió mi nevera ayer?', 'escenario': 'consumo_basico'}, '@2': {'solicitud': '¿Cuál consumió más, la nevera o el horno?', 'escenario': 'comparacion_consumos'}} | notas: La primera solicitud pregunta por el consumo energético histórico de un dispositivo específico (la nevera) durante un periodo de tiempo claramente definido (ayer), lo cual encaja con el escenario 'consumo_basico'. La segunda solicitud busca comparar el consumo entre dos dispositivos diferentes (nevera vs horno) para determinar cuál tiene un mayor consumo, lo que corresponde al escenario 'comparacion_consumos'.</t>
  </si>
  <si>
    <t xml:space="preserve"> {'@1': {'solicitud': 'Dime el consumo del televisor ayer', 'escenario': 'consumo_basico'}, '@2': {'solicitud': 'Dime si debería cambiar de carrera profesional', 'escenario': 'entrada_inadmisible'}} | notas: La primera solicitud pide un valor de consumo energético registrado (del televisor) en un periodo específico (ayer), lo cual encaja claramente en el escenario 'consumo_basico'. La segunda solicitud está fuera del dominio del sistema, ya que no se relaciona con el consumo energético del hogar, por lo tanto se clasifica como 'entrada_inadmisible'.</t>
  </si>
  <si>
    <t xml:space="preserve"> {'@1': {'solicitud': 'Quiero el consumo del ventilador ayer', 'escenario': 'consumo_basico'}, '@2': {'solicitud': 'Quiero el consumo del PC hoy', 'escenario': 'consumo_basico'}, '@3': {'solicitud': 'Quiero una comparación entre el consumo del ventilador ayer y el del PC hoy', 'escenario': 'comparacion_consumos'}} | notas: La primera solicitud pregunta por el consumo específico de un dispositivo (ventilador) en un día determinado (ayer), lo cual encaja en el escenario de 'consumo_basico' ya que se busca un valor histórico puntual. La segunda solicitud también busca un valor de consumo específico (PC) para un periodo definido (hoy), encajando igualmente en 'consumo_basico'. La tercera solicitud pide explícitamente una comparación entre ambos consumos, lo cual corresponde claramente al escenario 'comparacion_consumos', ya que se requiere analizar la diferencia entre dos valores de consumo.</t>
  </si>
  <si>
    <t xml:space="preserve"> {'@1': {'solicitud': 'Dime el consumo del aire acondicionado esta semana', 'escenario': 'consumo_basico'}, '@2': {'solicitud': 'Compara el consumo del aire acondicionado de esta semana con el de la semana anterior', 'escenario': 'comparacion_consumos'}, '@3': {'solicitud': 'Analiza la tendencia del consumo del aire acondicionado entre esta semana y la anterior', 'escenario': 'deteccion_anomalias_tendencias'}} | notas: - La primera solicitud busca un valor de consumo específico (esta semana) sin realizar análisis, por lo tanto corresponde al escenario 'consumo_basico'.
- La segunda solicitud pide explícitamente una comparación entre dos periodos de tiempo, lo cual encaja en el escenario 'comparacion_consumos'.
- La tercera solicitud busca identificar una tendencia entre dos periodos de tiempo, lo cual se ajusta al escenario 'deteccion_anomalias_tendencias' ya que implica análisis de patrones temporales.</t>
  </si>
  <si>
    <t xml:space="preserve"> {'@1': {'solicitud': 'Dime el consumo del horno este mes.', 'escenario': 'consumo_basico'}, '@2': {'solicitud': 'Analiza si hay anomalías en el consumo del horno este mes.', 'escenario': 'deteccion_anomalias_tendencias'}, '@3': {'solicitud': 'Dime si el consumo del horno va en aumento este mes.', 'escenario': 'deteccion_anomalias_tendencias'}} | notas: La primera solicitud se enmarca en el escenario 'consumo_basico' porque busca un valor de consumo registrado en un periodo específico (este mes) sin realizar análisis. La segunda solicitud corresponde a 'deteccion_anomalias_tendencias' ya que pide analizar si hay comportamientos anómalos. La tercera también se ajusta a 'deteccion_anomalias_tendencias' porque busca identificar una tendencia sostenida (aumento) en el consumo.</t>
  </si>
  <si>
    <t xml:space="preserve"> {'@1': {'solicitud': 'Consultar el consumo energético total de la vivienda durante el mes de octubre de 2025.', 'escenario': 'consumo_basico'}, '@2': {'solicitud': 'Comparar el consumo energético total de la vivienda entre el mes de octubre y el mes de noviembre de 2025.', 'escenario': 'comparacion_consumos'}, '@3': {'solicitud': 'Identificar picos anómalos o comportamientos inusuales en el consumo energético de la vivienda durante el mes de octubre de 2025.', 'escenario': 'deteccion_anomalias_tendencias'}} | notas: La primera solicitud se enfoca en obtener un valor puntual de consumo para un periodo definido (octubre), encajando en el escenario "consumo_basico". La segunda solicitud claramente involucra una comparación directa entre dos periodos (octubre y noviembre), clasificándose en "comparacion_consumos". La tercera solicitud busca identificar comportamientos anómalos en el consumo, lo cual corresponde al escenario "deteccion_anomalias_tendencias".</t>
  </si>
  <si>
    <t xml:space="preserve"> {'@1': {'solicitud': 'Dime el consumo del aire acondicionado esta semana.', 'escenario': 'consumo_basico'}, '@2': {'solicitud': 'Dime el consumo del aire acondicionado la semana pasada.', 'escenario': 'consumo_basico'}, '@3': {'solicitud': 'Compara el consumo del aire acondicionado entre esta semana y la semana pasada.', 'escenario': 'comparacion_consumos'}} | notas: La solicitud original combina dos consultas de valores de consumo (esta semana y la semana pasada) con una comparación entre ambos periodos. Se segmenta en tres solicitudes: las dos primeras son consultas básicas de consumo energético en intervalos temporales definidos (sin comparaciones), por lo que se categorizan como 'consumo_basico'. La tercera solicitud toma esos valores y los compara explícitamente, encajando en el escenario 'comparacion_consumos'.</t>
  </si>
  <si>
    <t xml:space="preserve"> {'@1': {'solicitud': '¿Cuánto consumió el aire acondicionado ayer?', 'escenario': 'consumo_basico'}, '@2': {'solicitud': '¿Cómo se compara el consumo del aire acondicionado de ayer con la semana pasada?', 'escenario': 'comparacion_consumos'}, '@3': {'solicitud': '¿Qué tendencia tiene el consumo del aire acondicionado?', 'escenario': 'deteccion_anomalias_tendencias'}} | notas: La solicitud 1 corresponde al escenario 'consumo_basico' porque se centra en consultar un valor específico de consumo energético (del aire acondicionado) en un periodo definido (ayer), sin realizar análisis adicionales. La solicitud 2 encaja en 'comparacion_consumos' ya que explícitamente solicita una comparación entre dos periodos de tiempo (ayer vs. la semana pasada). La solicitud 3 pertenece a 'deteccion_anomalias_tendencias' porque busca identificar patrones o tendencias en el consumo del dispositivo, lo cual implica un análisis temporal de los datos.</t>
  </si>
  <si>
    <t xml:space="preserve"> {'@1': {'solicitud': 'Obtener el consumo total de la casa durante el año en curso (2026) hasta la fecha actual.', 'escenario': 'consumo_basico'}, '@2': {'solicitud': 'Obtener el consumo total de la casa durante el mismo periodo del año anterior (2025) para realizar una comparación con el año actual.', 'escenario': 'comparacion_consumos'}, '@3': {'solicitud': 'Identificar días con picos o valores anómalos de consumo energético dentro del año en curso (2026).', 'escenario': 'deteccion_anomalias_tendencias'}} | notas: La solicitud se desglosa en tres partes para alinearse con los escenarios específicos del sistema. La primera parte busca simplemente el valor total del consumo en un periodo determinado, lo cual encaja con "consumo_basico". La segunda parte implica una comparación entre dos periodos temporales consecutivos, identificando si hubo un aumento, lo que corresponde a "comparacion_consumos". La tercera parte busca identificar días anómalos dentro del periodo, lo cual se ajusta al escenario de "deteccion_anomalias_tendencias".</t>
  </si>
  <si>
    <t xml:space="preserve"> {'@1': {'solicitud': 'Dime el consumo de mi nevera ayer', 'escenario': 'consumo_basico'}, '@2': {'solicitud': 'Compara el consumo de mi nevera con la lavadora ayer', 'escenario': 'comparacion_consumos'}, '@3': {'solicitud': 'Basado en el consumo de mi nevera y la lavadora ayer, estima cuánto dinero podría ahorrar en un mes para ver si me alcanza para un viaje', 'escenario': 'prediccion_estimacion'}} | notas: La primera solicitud pide un valor específico de consumo (de la nevera) para un día concreto (ayer), lo cual encaja con el escenario "consumo_basico". La segunda solicitud compara el consumo entre dos dispositivos (nevera y lavadora) para el mismo periodo, lo que corresponde al escenario "comparacion_consumos". La tercera solicitud implica una estimación futura de ahorro económico basado en datos actuales para un propósito específico (viaje), lo cual encaja con el escenario "prediccion_estimacion".</t>
  </si>
  <si>
    <t xml:space="preserve"> {'@1': {'solicitud': 'Dime el consumo de mi lavadora el fin de semana', 'escenario': 'consumo_basico'}, '@2': {'solicitud': 'Compara el consumo de mi lavadora con el horno durante el fin de semana', 'escenario': 'comparacion_consumos'}, '@3': {'solicitud': 'Revisa si hubo picos de consumo en mi lavadora durante el fin de semana', 'escenario': 'deteccion_anomalias_tendencias'}} | notas: 1. La primera parte solicita el valor del consumo de un dispositivo (lavadora) en un periodo específico (fin de semana), sin realizar comparaciones ni análisis adicionales. Esto se ajusta al escenario 'consumo_basico'. 2. La segunda parte compara explícitamente el consumo de dos dispositivos (lavadora y horno) en un periodo definido, lo cual encaja claramente en el escenario 'comparacion_consumos'. 3. La tercera parte busca identificar irregularidades o picos en el consumo de un dispositivo específico, lo cual es propio del escenario 'deteccion_anomalias_tendencias'.</t>
  </si>
  <si>
    <t xml:space="preserve"> {'@1': {'solicitud': 'Consultar el consumo energético registrado ayer para la nevera y el televisor.', 'escenario': 'consumo_basico'}, '@2': {'solicitud': 'Determinar cuál de los dos dispositivos, la nevera o el televisor, tuvo un mayor consumo energético ayer.', 'escenario': 'comparacion_consumos'}} | notas: La primera parte de la solicitud pregunta por valores históricos de consumo energético para dos dispositivos específicos (nevera y televisor) en un periodo definido (ayer), lo cual encaja en el escenario 'consumo_basico'. La segunda parte busca identificar cuál de los dos dispositivos consumió más energía en el mismo periodo, lo cual implica una comparación directa entre ambos, por lo tanto se asigna al escenario 'comparacion_consumos'.</t>
  </si>
  <si>
    <t>The model correctly decomposes the input 'Quiero saber el consumo del aire acondicionado en la mañana y en la noche de ayer' into two individual, independent intentions, one for the morning and one for the night, aligning perfectly with the Expected Output. It does not invent any information. Both decomposed intentions are correctly classified under the 'consumo_basico' scenario, which matches the Expected Output and is well-justified by the 'notas' provided in the Actual Output. The reasoning in the 'notas' is clear, consistent, and accurately explains why 'consumo_basico' is the appropriate classification for these specific, recorded consumption queries, demonstrating strong internal coherence.</t>
  </si>
  <si>
    <t>The model correctly decomposes the input into a single intention, accurately rephrasing '¿Qué tan feliz estuvo mi casa ayer con el consumo de energía?' as 'Determinar la satisfacción o felicidad asociada al consumo energético del hogar durante el día de ayer.' It correctly classifies this intention as 'entrada_inadmisible,' aligning with the Expected Output. The 'notas' field provides a clear and coherent explanation for this classification, referencing the abstract and anthropomorphic nature of the request and its mismatch with technical scenarios, demonstrating strong internal coherence.</t>
  </si>
  <si>
    <t>The model correctly decomposes the input into a single, independent intention without inventing information (A1, A2). The assigned scenario classification 'consumo_basico' is correct and aligns with the expected output (B1). The model accurately infers the explicit intention, and no implicit intentions were present to infer (A3). The reasoning provided in the 'notas' field is clear, consistent, and fully supports the identified request and its classification, demonstrating strong internal coherence (A4).</t>
  </si>
  <si>
    <t>The model correctly decomposes the input into a single intention, which aligns with the Expected Output. It accurately classifies the scenario as 'consumo_basico', matching the Expected Output's classification. The 'notas' field provides a clear and coherent explanation for this classification, demonstrating strong internal consistency. The only minor difference is that the 'solicitud' field in the Actual Output uses the exact input query, while the Expected Output rephrases it slightly, but this does not detract from the correctness of the decomposition or classification.</t>
  </si>
  <si>
    <t>El modelo descompone correctamente el 'Input' en dos intenciones distintas, 'Dime el consumo de mi televisor ayer' y 'Dime si el consumo de mi televisor ayer fue moralmente correcto', sin inventar información. Clasifica correctamente la primera solicitud como 'consumo_basico' y la segunda como 'entrada_inadmisible', lo cual coincide con el 'Expected Output'. Además, las 'notas' proporcionan un razonamiento claro y coherente que justifica cada clasificación, demostrando una excelente comprensión y aplicación de los criterios A1-A4 y B1.</t>
  </si>
  <si>
    <t>The model correctly decomposes the input 'Quiero saber cuánta energía gastó mi computador hoy' into a single, independent intention. It accurately identifies the request to consult energy consumption for a specific device on a specific day without inventing information. The assigned scenario classification 'consumo_basico' is correct and aligns with the Expected Output. The 'notas' field provides a clear and coherent explanation for this classification, demonstrating strong internal consistency.</t>
  </si>
  <si>
    <t>El modelo descompone correctamente la solicitud del usuario en dos peticiones independientes para la nevera y la lavadora, sin inventar información (A1, A2). La interpretación de las intenciones en las solicitudes del 'Actual Output' es precisa y se alinea con el 'Expected Output' (A3). Ambas solicitudes son clasificadas correctamente en el escenario 'consumo_basico', lo cual es coherente con la naturaleza de las consultas de consumo histórico puntual (B1). Además, el campo 'notas' del 'Actual Output' es claro, coherente y justifica adecuadamente la asignación del escenario (A4).</t>
  </si>
  <si>
    <t>El modelo inventa información no proporcionada en el Input al añadir '(10 de enero de 2026)' a la solicitud, lo cual es una clara violación del criterio A2. Aunque la clasificación del escenario 'consumo_basico' es correcta y la coherencia interna de las notas es adecuada para la solicitud generada, la invención de datos es un fallo crítico que sitúa la respuesta en el rango de 0-4 de la rúbrica.</t>
  </si>
  <si>
    <t>The model correctly decomposes the input into a single request, accurately reflecting the user's intention without inventing any information (A1, A2). The inferred intention in the 'solicitud' field aligns perfectly with the 'Expected Output' (A3). Furthermore, the model correctly assigns the 'consumo_basico' scenario, which is consistent with the 'Expected Output' and the nature of the query for a specific historical consumption data point (B1). The 'notas' field provides a clear and coherent explanation for this classification, demonstrating a strong understanding of the request (A4).</t>
  </si>
  <si>
    <t>The model accurately decomposes the input 'Quiero saber el consumo de mi nevera, mi lavadora y mi secadora el domingo' into three distinct, independent intentions, one for each appliance (A1). It does not invent any information (A2). All three intentions are correctly classified under the 'consumo_basico' scenario (B1), aligning with the Expected Output. The 'notas' field provides a clear and coherent explanation for this classification, demonstrating strong internal consistency between the identified requests and their assigned scenarios (A4).</t>
  </si>
  <si>
    <t>The model correctly identified the single intention and classified it into the 'consumo_basico' scenario, with coherent reasoning in the 'notas'. However, it invented information by adding 'de 2025' to the date '15 de noviembre' in the `solicitud` field, which was not present in the original input. This invention of information (A2) is a significant shortcoming, placing the response in the lowest score range despite other correct aspects.</t>
  </si>
  <si>
    <t>The model correctly decomposes the input into two independent intentions (A1) without inventing information (A2). It accurately identifies the direct requests for consumption of the 'ventilador esta semana' and 'lavadora la semana pasada'. The scenario classification for both as 'consumo_basico' is correct (B1), aligning with the Expected Output. Furthermore, the 'notas' field provides clear and consistent reasoning for this classification, demonstrating strong internal coherence (A4). The model successfully infers implicit intentions by capturing the core request for consumption data (A3).</t>
  </si>
  <si>
    <t>The model correctly decomposes the single request from the input 'Dime el consumo de mi lavadora el lunes pasado' into one independent request (A1). It accurately infers the intention to 'Consultar el consumo energético' for the 'lavadora' on 'el lunes pasado', aligning with the expected output's interpretation (A3). While the actual output adds a specific date (2026-01-05) and 'durante el día completo', this is a reasonable and more precise interpretation rather than an invention of information (A2). The assigned scenario 'consumo_basico' is correct and matches the expected output (B1). The 'notas' field clearly explains the reasoning for the scenario, demonstrating coherence (A4). The slight verbosity in the 'solicitud' compared to the expected output is a minor difference that does not detract from the overall correctness and precision.</t>
  </si>
  <si>
    <t>The model correctly decomposes the input '¿Cuánto consumieron el televisor y el computador el sábado pasado?' into two independent requests, one for the television and one for the computer (A1). It does not invent any information, and the inferred intentions align perfectly with the expected output, even with the slight addition of 'registrado' which is an adequate inference of an implicit detail for past consumption data (A2, A3). Both requests are correctly classified under the 'consumo_basico' scenario, aligning with the expected output (B1). The 'notas' field provides a clear and coherent explanation for the decomposition and scenario assignment (A4).</t>
  </si>
  <si>
    <t>The model correctly decomposes the input '¿Cuánto consumió mi casa el lunes y cuánto consumió el martes?' into two independent requests, '@1' and '@2', fulfilling A1. It does not invent any information (A2). The inferred intentions for both requests align with the 'Expected Output', even though the 'solicitud' phrasing is a direct extraction rather than a rephrasing, maintaining semantic correctness (A3). Both requests are correctly classified under the 'consumo_basico' scenario, matching the 'Expected Output' (B1). The 'notas' field clearly and coherently explains the reasoning for the scenario classification (A4). The minor difference in the exact phrasing of the 'solicitud' field compared to the 'Expected Output' prevents a perfect score, but the overall interpretation and classification are accurate.</t>
  </si>
  <si>
    <t>The model correctly decomposes the single input request into an independent request (A1). It accurately interprets the user's intention to 'Consultar el consumo energético registrado por el televisor durante la noche del día anterior (ayer)' without inventing information (A2), aligning closely with the 'Consultar el consumo energético del televisor durante la noche de ayer' from the Expected Output (A3). The assigned scenario 'consumo_basico' is correct for a direct query of historical consumption for a specific device and time (B1). Furthermore, the 'notas' field provides a clear and coherent justification for this classification, referencing the specific details of the request (A4).</t>
  </si>
  <si>
    <t>The model correctly decomposes the input into three independent requests and accurately assigns the 'consumo_basico' scenario to each, aligning with the Expected Output's classification. However, it invents the year '2026' for each request ('¿Cuánto consumió mi casa en junio de 2026?'), which is not deducible from the original input '¿Cuánto consumió mi casa en junio, julio y agosto?' and contradicts the Expected Output's more general phrasing. This invention of information violates criterion A2.</t>
  </si>
  <si>
    <t>The model correctly decomposes the request and assigns the correct scenario 'consumo_basico' with a coherent explanation. However, it invents specific dates ('del 29 de diciembre de 2025 al 4 de enero de 2026') for 'la semana pasada' which are not deducible from the input or provided context, and are not present in the expected output. This constitutes inventing information (A2), making the semantic quality insufficient.</t>
  </si>
  <si>
    <t>The model correctly identified the core request for energy consumption for the specified devices yesterday and classified it correctly as 'consumo_basico' (B1). It did not invent information (A2) and its internal reasoning was coherent (A4). However, it failed to decompose the input into individual, independent intentions for each device (PC, monitor, router) as demonstrated by the Expected Output, instead combining them into a single intention. This constitutes a failure in criterion A1 regarding decomposition granularity, which impacts the overall semantic quality.</t>
  </si>
  <si>
    <t>The model correctly decomposes the input into two independent intentions (A1) and does not invent information (A2). It also correctly classifies both requests as 'consumo_basico' (B1), aligning with the Expected Output. Furthermore, the reasoning in the 'notas' field is internally coherent with the identified requests and their classifications within the Actual Output (A4). However, the model fails to adequately infer an implicit intention (A3). The Actual Output explicitly states 'No hay intención de comparar', which directly contradicts the Expected Output's note of 'comparación implícita entre periodos' for the input 'Muéstrame el consumo del horno en enero y en febrero'. This failure to infer the implicit comparison means that the condition 'A1–A4 correctos' is not met, placing the score in the 0-4 range due to insufficient semantic quality (A3).</t>
  </si>
  <si>
    <t>The model correctly decomposes the input 'Quiero saber el consumo del ventilador y si hubo algún pico extraño ayer' into two distinct intentions, '@1' for basic consumption and '@2' for anomaly detection, without inventing information. It accurately infers that 'ayer' applies to both requests and that 'pico extraño' refers to 'consumo'. Both intentions are correctly classified into 'consumo_basico' and 'deteccion_anomalias_tendencias' respectively, aligning with the expected output. The 'notas' field provides clear and consistent reasoning for these classifications, demonstrating strong internal coherence.</t>
  </si>
  <si>
    <t>The model correctly decomposes the input into two distinct intentions, 'Dime el consumo del aire acondicionado ayer' and 'Dime si eso significa que soy irresponsable', without inventing information. Both intentions are accurately classified into 'consumo_basico' and 'entrada_inadmisible' respectively, aligning with the Expected Output. The 'notas' field provides clear and consistent reasoning for each classification, demonstrating strong internal coherence. All criteria (A1-A4 and B1) are met.</t>
  </si>
  <si>
    <t>The model correctly decomposes the input into two independent intentions, 'Quiero el consumo del horno este mes.' and 'Quiero saber si hay alguna anomalía en el consumo del horno este mes.', without inventing information. It accurately infers the implicit context for the anomaly detection, linking it to the oven's consumption this month. Both intentions are correctly classified into their respective scenarios, 'consumo_basico' and 'deteccion_anomalias_tendencias'. The 'notas' field provides clear and consistent reasoning for these classifications, demonstrating strong internal coherence.</t>
  </si>
  <si>
    <t>El modelo descompone correctamente la solicitud del usuario '¿Cuánto consumió mi PC ayer y ha venido aumentando su consumo este mes?' en dos peticiones independientes. No inventa información y las intenciones inferidas en '@1' ('¿Cuánto consumió mi PC ayer?') y '@2' ('¿Ha venido aumentando el consumo de mi PC este mes?') se alinean perfectamente con las del 'Expected Output'. Además, clasifica correctamente cada solicitud en su escenario correspondiente: 'consumo_basico' para la primera y 'deteccion_anomalias_tendencias' para la segunda, lo cual coincide con el 'Expected Output'. Las 'notas' proporcionadas en el 'Actual Output' son claras y coherentes, justificando adecuadamente la asignación de escenarios.</t>
  </si>
  <si>
    <t>The model correctly decomposes the input into three individual intentions, aligning with A1. It does not invent any information (A2) and accurately infers implicit details like the time frame ('ayer') for the comparison and anomaly detection, and that anomaly detection applies to both devices (A3). All three intentions are correctly classified into their respective scenarios ('consumo_basico', 'comparacion_consumos', 'deteccion_anomalias_tendencias'), demonstrating correct B1 classification. Furthermore, the 'notas' field provides clear and consistent reasoning for each decomposition and classification, ensuring internal coherence (A4). The output fully meets all criteria for the highest score range.</t>
  </si>
  <si>
    <t>The model correctly decomposes the input into two independent intentions, 'Dime el consumo del aire acondicionado la semana pasada' and 'Analiza si hubo anomalías en el consumo del aire acondicionado la semana pasada', without inventing information. It accurately infers the context for the second request from the first. Both intentions are correctly classified into 'consumo_basico' and 'deteccion_anomalias_tendencias' respectively, aligning with the expected output. The 'notas' field provides clear and consistent reasoning for these classifications, demonstrating strong internal coherence.</t>
  </si>
  <si>
    <t>The model correctly decomposes the input into two independent intentions (A1) and assigns the correct scenario classifications ('consumo_basico', 'comparacion_consumos') to each (B1). It also maintains internal coherence in its 'notas' field (A4). However, the model invents specific dates ('enero de 2026', 'diciembre de 2025') that are not present in the input's 'este mes' and 'mes pasado', which constitutes inventing information not provided (A2). This violation of A2 places the response in the 0-4 range of the rubric.</t>
  </si>
  <si>
    <t>The model correctly decomposes the input into two independent requests, 'Dime el consumo del televisor ayer.' and 'Analiza si su consumo va en aumento.', without inventing any information (A1, A2). The inferred intentions align perfectly with the Expected Output's interpretation, capturing the essence of consulting consumption and analyzing trends (A3). Both requests are accurately classified into their respective scenarios, 'consumo_basico' and 'deteccion_anomalias_tendencias', matching the Expected Output (B1). Furthermore, the 'notas' field in the Actual Output provides clear and coherent justifications for these classifications (A4).</t>
  </si>
  <si>
    <t>The model successfully decomposes the input into two independent requests, '@1' and '@2', without inventing any information (A1, A2). The inferred intentions in the actual output's requests, such as '¿Cuánto consumió mi casa en noviembre?' and '¿Cómo se compara el consumo de mi casa en noviembre con el de octubre?', correctly interpret the natural language of the input and align perfectly with the expected output's interpretations (A3). Furthermore, both requests are accurately classified into their respective scenarios, 'consumo_basico' and 'comparacion_consumos', which matches the expected output (B1). The 'notas' field provides a clear and coherent explanation for the decomposition and scenario assignment (A4).</t>
  </si>
  <si>
    <t>The model correctly decomposes the input 'Dime el consumo del horno ayer y luego dime si fue anormal' into two independent requests, '@1': 'Dime el consumo del horno ayer' and '@2': 'Dime si el consumo del horno ayer fue anormal', without inventing any information (A1, A2). The inferred intentions align perfectly with the 'Expected Output' for both requests (A3). Furthermore, both requests are correctly classified into their respective scenarios: 'consumo_basico' for the first and 'deteccion_anomalias_tendencias' for the second, matching the 'Expected Output' (B1). The 'notas' field in the 'Actual Output' is exceptionally clear and coherent, providing excellent justification for each scenario assignment (A4).</t>
  </si>
  <si>
    <t>The model successfully decomposed the input '¿Cuánto consumió la lavadora el sábado y fue más que el domingo?' into two independent requests without inventing information (A1, A2). The interpretation of these requests, '¿Cuánto consumió la lavadora el sábado?' and '¿El consumo de la lavadora el sábado fue más que el domingo?', accurately reflects the user's intent and aligns semantically with the expected output (A3). Furthermore, both requests were correctly classified into their respective scenarios, 'consumo_basico' and 'comparacion_consumos', which perfectly match the nature of the queries (B1). The 'notas' field provides a clear and coherent explanation for both the decomposition and scenario assignments (A4).</t>
  </si>
  <si>
    <t>The model correctly decomposes the input 'Dime el consumo de mi nevera ayer y luego compáralo con el consumo del sábado pasado' into two independent requests, '@1': 'Dime el consumo de mi nevera ayer.' and '@2': 'Compara el consumo de mi nevera ayer con el consumo del sábado pasado.', without inventing any information. The inferred intentions and details align perfectly with the Expected Output's interpretation. Furthermore, both requests are correctly classified into their respective scenarios, 'consumo_basico' and 'comparacion_consumos', which aligns with the Expected Output and the explicit comparative language in the input. The 'notas' field provides a clear and coherent explanation for both the decomposition and scenario assignments, demonstrating a strong understanding of the user's intent.</t>
  </si>
  <si>
    <t>El modelo descompone correctamente la solicitud del usuario 'Quiero saber el consumo de mi PC esta semana y luego compararlo con la semana pasada' en dos peticiones independientes y coherentes. No inventa información y las intenciones inferidas en '@1' ('Quiero saber el consumo de mi PC esta semana') y '@2' ('Quiero comparar el consumo de mi PC de esta semana con la semana pasada') se alinean perfectamente con el 'Expected Output'. Además, clasifica correctamente cada solicitud en su escenario correspondiente: 'consumo_basico' para la primera y 'comparacion_consumos' para la segunda. Las 'notas' proporcionadas son claras, coherentes y justifican adecuadamente las clasificaciones.</t>
  </si>
  <si>
    <t>The model correctly decomposes the input into two independent intentions (A1) without inventing information (A2). Both intentions, 'Quiero saber el consumo del ventilador este mes' and '¿La tendencia del consumo del ventilador este mes es creciente?', are accurately identified. The model correctly classifies the first intention as 'consumo_basico' and the second as 'deteccion_anomalias_tendencias' (B1), aligning with the expected output. It also correctly infers the implicit intention for trend analysis (A3). Furthermore, the 'notas' field provides clear and consistent reasoning for each classification, demonstrating strong internal coherence (A4). All criteria for a top score are met.</t>
  </si>
  <si>
    <t>The model successfully decomposes the input into two independent requests, 'Dime cuánto consumió la lavadora el lunes' and 'Compara el consumo de la lavadora del lunes con el del martes', without inventing any information. The inferred intentions align perfectly with the expected output, and both requests are correctly classified into 'consumo_basico' and 'comparacion_consumos' scenarios, respectively. The 'notas' field provides a clear and coherent explanation for the decomposition and scenario assignments. The slight difference in phrasing for the requests compared to the expected output is minor and does not detract from the overall correctness.</t>
  </si>
  <si>
    <t>El modelo descompone correctamente la solicitud del usuario 'Obtén el consumo del televisor ayer y compáralo con el de hoy' en tres peticiones independientes, sin inventar información (A1, A2). La interpretación de las intenciones en las solicitudes descompuestas ('Obtener el consumo del televisor ayer', 'Obtener el consumo del televisor hoy', 'Comparar el consumo del televisor de ayer con el de hoy') se alinea perfectamente con la interpretación del `Expected Output` (A3). Además, cada solicitud está correctamente clasificada en su escenario correspondiente ('consumo_basico' para las consultas individuales y 'comparacion_consumos' para la comparación), coincidiendo con el `Expected Output` (B1). Finalmente, el campo 'notas' del `Actual Output` es claro y coherente, explicando la lógica de la descomposición y clasificación (A4).</t>
  </si>
  <si>
    <t>The model correctly decomposes the input into two requests and assigns the correct scenarios ('consumo_basico' and 'deteccion_anomalias_tendencias') for both. However, it invents information by specifying 'el año 2025' in both requests, whereas the input only states 'en el año'. The expected output correctly infers 'periodo actual' or 'anual'. This invention of information, not deducible from the input, leads to a failure in criterion A2 and impacts A3, placing the response in the 0-4 range according to the rubric.</t>
  </si>
  <si>
    <t>The model correctly decomposes the input into four distinct, independent intentions, aligning perfectly with the Expected Output. It accurately infers implicit details like the 'yesterday' timeframe for all relevant requests. Furthermore, all scenario classifications ('consumo_basico', 'comparacion_consumos', 'deteccion_anomalias_tendencias') are correct and consistent with the Expected Output. The 'notas' field provides a clear and coherent explanation for the decomposition and classification choices, demonstrating strong internal consistency.</t>
  </si>
  <si>
    <t>The model correctly decomposes the input into two independent intentions (A1) and does not invent information (A2). Both intentions are accurately classified as 'consumo_basico' and 'comparacion_consumos' respectively, matching the Expected Output (B1). The reasoning provided in the 'notas' field is clear, consistent, and correctly justifies the assigned scenarios (A4). The only minor shortcoming is that the second intention's text ('¿Cuál consumió más, la nevera o el horno?') does not explicitly infer the temporal context 'durante el día de ayer' from the first part of the input, unlike the Expected Output (A3). However, this does not lead to an incorrect classification or a lack of understanding of the core comparison intent, maintaining a high level of semantic quality.</t>
  </si>
  <si>
    <t>The model successfully decomposes the input into two independent requests, 'Dime el consumo del televisor ayer' and 'Dime si debería cambiar de carrera profesional', without inventing information (A1, A2). The interpretation of these requests aligns well with the expected output, even if phrased more directly (A3). Both requests are correctly classified into their respective scenarios: 'consumo_basico' for the energy consumption query and 'entrada_inadmisible' for the career advice, matching the expected output (B1). The 'notas' field provides a clear and coherent explanation for these classifications (A4). The model demonstrates strong performance across all criteria.</t>
  </si>
  <si>
    <t>The model correctly decomposes the input 'Quiero el consumo del ventilador ayer, del PC hoy y una comparación entre ambos' into three distinct intentions, aligning with the Expected Output (A1). It does not invent any information (A2). Each decomposed intention is correctly classified into its respective scenario ('consumo_basico' for the first two and 'comparacion_consumos' for the third), matching the Expected Output and demonstrating correct inference of implicit intentions (A3, B1). Furthermore, the 'notas' field provides clear and consistent reasoning for each classification, ensuring strong internal coherence (A4).</t>
  </si>
  <si>
    <t>The model correctly decomposes the input 'Dime el consumo del aire acondicionado esta semana, compáralo con la anterior y analiza la tendencia' into three distinct intentions, aligning with A1. It does not invent information (A2) and accurately infers implicit details like the comparison and trend analysis context for the air conditioning consumption (A3). All scenario classifications ('consumo_basico', 'comparacion_consumos', 'deteccion_anomalias_tendencias') are correct according to the Expected Output (B1). Furthermore, the 'notas' field provides clear and consistent reasoning for each request and its classification, demonstrating strong internal coherence (A4).</t>
  </si>
  <si>
    <t>The model correctly decomposes the input 'Dime el consumo del horno este mes, analiza si hay anomalías y dime si va en aumento' into three distinct intentions. It does not invent any information and accurately infers the implicit 'este mes' context for the second and third requests. All three intentions are correctly classified into their respective scenarios: '@1' as 'consumo_basico' and '@2', '@3' as 'deteccion_anomalias_tendencias'. The 'notas' field provides clear and consistent reasoning for each classification, demonstrating strong internal coherence.</t>
  </si>
  <si>
    <t>The model correctly decomposes the input into three intentions and classifies them appropriately (B1 correct). However, it invents information by adding 'de 2025' to each request, which is not present in the input, violating A2. Furthermore, for the third intention, it incorrectly limits the anomaly detection to 'octubre de 2025' when the input implies a broader scope covering both October and November, failing to correctly infer implicit intentions (A3) as demonstrated by the Expected Output. These shortcomings in A2 and A3 lead to insufficient semantic quality.</t>
  </si>
  <si>
    <t>The Actual Output over-decomposes the input 'Dime el consumo del aire acondicionado esta semana y compáralo con la semana pasada.' into three intentions, while the Expected Output correctly identifies two. Specifically, the Actual Output creates an explicit intention '@2': 'Dime el consumo del aire acondicionado la semana pasada' classified as 'consumo_basico', which the Expected Output considers implicitly handled by the comparison intention. This indicates a failure in correctly decomposing the input (A1) and adequately inferring implicit intentions (A3) according to the Expected Output reference. While the classifications for the identified intentions are correct and the internal coherence (A4) is maintained, the deviation in decomposition means that criteria A1 and A3 are not fully met, placing the response in the 0-4 range.</t>
  </si>
  <si>
    <t>The model successfully decomposes the input into three independent requests, accurately reflecting the user's intentions without inventing any information. The interpretation of each request aligns perfectly with the expected output's underlying meaning. Furthermore, each decomposed request is correctly assigned to its respective scenario ('consumo_basico', 'comparacion_consumos', 'deteccion_anomalias_tendencias'), and the 'notas' field provides clear and coherent justifications for these assignments, demonstrating a complete understanding of the input and context.</t>
  </si>
  <si>
    <t>The model correctly decomposes the input into three distinct intentions (A1) and infers the implicit need for comparison for 'si ha aumentado este año' (A3). It does not invent information that distorts the core intent (A2), and its 'notas' field provides clear and consistent reasoning for its classifications (A4). However, the classification for the second intention, 'si ha aumentado este año', is given as 'comparacion_consumos' in the Actual Output, while the Expected Output classifies the equivalent intention ('Analizar la tendencia anual') as 'deteccion_anomalias_tendencias'. This constitutes one incorrect scenario classification (B1) when compared against the Expected Output, placing the response in the 5-7 range of the rubric.</t>
  </si>
  <si>
    <t>The model correctly decomposes the first two intentions from the input and assigns them the correct scenario classifications ('consumo_basico' and 'comparacion_consumos'). The reasoning in the 'notas' field is internally consistent with these classifications. However, the model incorrectly classifies the third intention, 'dime si con eso ya puedo ahorrar para irme de viaje'. It interprets this as a 'prediccion_estimacion' and adds details like 'en un mes', which is an over-interpretation and implies a system capability not present. The Expected Output correctly identifies this as an 'entrada_inadmisible', indicating it's outside the system's domain. This misclassification of a key request (B1 incorrect) places the response in the 5-7 range.</t>
  </si>
  <si>
    <t>The model correctly decomposes the input into three independent requests (A1) and does not invent information (A2). The 'notas' field is clear and coherent (A4), and the scenario assignments (B1) are correct based on the model's interpretation of each request. However, the model fails to adequately infer implicit intentions for the third request (A3). The input 'revisa si hubo picos' implicitly refers to both the 'lavadora' and 'horno' given the preceding comparison, but the Actual Output narrows the scope of peak detection only to the 'lavadora', unlike the Expected Output which correctly includes both devices. This failure in adequately inferring implicit intentions means that the 'A1-A4 correctos' condition for scores 5 and above is not met, placing the response in the 0-4 range due to insufficient semantic quality (A3) regarding the scope of the request.</t>
  </si>
  <si>
    <t>The model correctly identifies the two main intentions from the input: consulting consumption and comparing consumption. It assigns the correct scenarios ('consumo_basico' and 'comparacion_consumos') for these intentions, which aligns with criterion B1. No information is invented (A2), and the 'notas' field is clear and coherent (A4). The primary shortcoming is in the granularity of decomposition (A1) and alignment with the Expected Output's interpretation (A3), as it combines the consumption queries for 'nevera' and 'televisor' into a single request, whereas the Expected Output separates them into two distinct, individual requests. However, this is a minor deviation in decomposition rather than a fundamental failure or misinterpretation, and the overall understanding and correct scenario classification warrant a high score.</t>
  </si>
  <si>
    <t xml:space="preserve"> {'@1': {'solicitud': 'Obtener el consumo energético del televisor durante el día de ayer', 'escenario': 'consumo_basico'}, '@2': {'solicitud': 'Evaluar si el consumo del televisor ayer fue moralmente correcto', 'escenario': 'entrada_inadmisible'}} | notas: - Para la solicitud @1: Se categoriza como 'consumo_basico' porque solicita un valor histórico de consumo de un dispositivo específico (televisor) en un periodo temporal explícito (ayer), cumpliendo con los criterios de escenario donde la respuesta esperada es un valor cuantitativo.
- Para la solicitud @2: Se categoriza como 'entrada_inadmisible' porque la valoración moral del consumo energético está fuera del dominio del sistema, no siendo una consulta relacionada con medición, análisis o gestión de energía. El sistema no está diseñado para hacer juicios éticos.</t>
  </si>
  <si>
    <t xml:space="preserve"> {'@1': {'solicitud': '¿Cuál fue el consumo energético de mi horno el 15 de noviembre?', 'escenario': 'consumo_basico'}} | notas: Se categoriza en 'consumo_basico' porque:
1. La consulta solicita un valor histórico de consumo energético (de un dispositivo específico).
2. Se especifica un periodo temporal concreto (15 de noviembre).
3. No requiere comparaciones, análisis de tendencias ni estimaciones futuras.
4. La respuesta esperada es un dato cuantitativo puntual.</t>
  </si>
  <si>
    <t xml:space="preserve"> {'@1': {'solicitud': '¿Cuánto consumió mi televisor ayer en la noche?', 'escenario': 'consumo_basico'}} | notas: Se asignó el escenario 'consumo_basico' porque:
1. La solicitud busca un valor de consumo histórico para un dispositivo específico (televisor)
2. El periodo temporal está explícitamente definido ("ayer en la noche")
3. No implica comparación, detección de patrones ni predicción, sino un dato puntual
4. Cumple con los criterios de 'usar_si' para consumo_basico según su descripción</t>
  </si>
  <si>
    <t xml:space="preserve"> {'@1': {'solicitud': 'Determinar el nivel de felicidad de una casa en relación con su consumo energético de ayer', 'escenario': 'entrada_inadmisible'}} | notas: La consulta utiliza un concepto metafórico ("felicidad de la casa") que no corresponde al dominio del análisis de consumo energético. El sistema no tiene capacidad para interpretar estados emocionales/psicológicos asociados a estructuras físicas. Ningún escenario de entrada admisible (focalizados en datos cuantitativos, comparaciones, anomalías o predicciones) puede procesar esta solicitud.</t>
  </si>
  <si>
    <t xml:space="preserve"> {'@1': {'solicitud': 'Obtener el consumo energético total del hogar completo durante el mes de marzo de 2024 en kWh', 'escenario': 'consumo_basico'}} | notas: Escenario seleccionado: consumo_basico  
Razonamiento:  
- El usuario solicita un valor histórico de consumo específico para toda la casa  
- Se especifica un periodo temporal claro (marzo 2024)  
- No involucra comparaciones, análisis de patrones o predicciones futuras  
- La respuesta esperada es un valor cuantitativo único  
- Cumple con 3 criterios de 'usar_si' del escenario: consulta de valores históricos + periodo explícito + respuesta cuantitativa</t>
  </si>
  <si>
    <t xml:space="preserve"> {'@1': {'solicitud': 'Consumo energético del ventilador esta semana', 'escenario': 'consumo_basico'}, '@2': {'solicitud': 'Consumo energético de la lavadora la semana pasada', 'escenario': 'consumo_basico'}} | notas: - Para "@1": La solicitud cumple con características de 'consumo_basico' al requerir un valor histórico puntual para un dispositivo específico (ventilador) con intervalo temporal explícito (esta semana). No incluye elementos comparativos ni analíticos.
- Para "@2": Cumple criterios de 'consumo_basico' al solicitar datos históricos para otro dispositivo (lavadora) con periodo temporal claro (semana pasada). Ambas solicitudes buscan valores cuantitativos individuales sin inferencias.</t>
  </si>
  <si>
    <t xml:space="preserve"> {'@1': {'solicitud': 'Obtener el valor numérico de consumo energético del aire acondicionado durante el periodo matutino de ayer', 'escenario': 'consumo_basico'}, '@2': {'solicitud': 'Obtener el valor numérico de consumo energético del aire acondicionado durante el periodo nocturno de ayer', 'escenario': 'consumo_basico'}} | notas: Se categoriza en consumo_basico porque:
- La consulta solicita valores históricos específicos para un dispositivo concreto (aire acondicionado)
- Se especifican dos intervalos temporales claros (mañana y noche de ayer)
- La intención es meramente consultiva sin requerir análisis comparativo, detección de patrones o proyecciones futuras
- Cada periodo se procesa como solicitud independiente para mantener la granularidad temporal requerida</t>
  </si>
  <si>
    <t xml:space="preserve"> {'@1': {'solicitud': 'Dime el consumo de mi lavadora el lunes pasado', 'escenario': 'consumo_basico'}} | notas: Se seleccionó el escenario 'consumo_basico' porque: 
- La solicitud busca un valor de consumo histórico específico (lavadora)
- Se especifica un período temporal concreto (lunes pasado)
- No hay elementos comparativos, de análisis de tendencias o predicciones
- La respuesta esperada es un dato cuantitativo puntual de consumo energético</t>
  </si>
  <si>
    <t xml:space="preserve"> {'@1': {'solicitud': 'Dime cuántos kWh consumió mi casa la semana pasada.', 'escenario': 'consumo_basico'}} | notas: El escenario 'consumo_basico' fue seleccionado porque:
- La solicitud busca específicamente un valor cuantitativo de consumo energético histórico para el hogar completo.
- Incluye un intervalo temporal explícito y delimitado ("la semana pasada").
- No involucra comparaciones, análisis de patrones o estimaciones futuras, solo requiere recuperar un dato registrado.</t>
  </si>
  <si>
    <t xml:space="preserve"> {'@1': {'solicitud': 'Consultar el consumo energético del televisor el sábado pasado', 'escenario': 'consumo_basico'}, '@2': {'solicitud': 'Consultar el consumo energético del computador el sábado pasado', 'escenario': 'consumo_basico'}} | notas: Se categoriza como 'consumo_basico' porque:
1. El usuario solicita valores de consumo históricos específicos para dispositivos concretos
2. Incluye un periodo temporal definido (sábado pasado)
3. No se requiere comparación, análisis de patrones ni proyecciones futuras
4. La respuesta esperada son valores cuantitativos puntuales para cada dispositivo
5. Ambas solicitudes cumplen con los criterios del escenario: peticiones autocontenidas de datos ya registrados</t>
  </si>
  <si>
    <t xml:space="preserve"> {'@1': {'solicitud': "Obtener el consumo energético registrado del dispositivo 'ventilador' durante el día de ayer", 'escenario': 'consumo_basico'}} | notas: Se selecciona el escenario 'consumo_basico' porque la solicitud cumple con:
- Consulta valores de consumo energético histórico para un dispositivo específico
- Periodo temporal explícitamente definido (ayer)
- No involucra comparaciones, análisis de patrones ni proyecciones futuras
- La respuesta esperada es un valor cuantitativo específico para el período solicitado</t>
  </si>
  <si>
    <t xml:space="preserve"> {'@1': {'solicitud': 'Quiero saber cuánta energía gastó mi computador hoy', 'escenario': 'consumo_basico'}} | notas: Se clasifica en 'consumo_basico' porque:
1. El usuario solicita valores históricos de consumo energético para un dispositivo específico (computador)
2. La consulta incluye un intervalo temporal explícito ("hoy")
3. La respuesta esperada es un valor cuantitativo puntual
4. No existen elementos comparativos, análisis de tendencias ni requerimientos predictivos
5. Es una consulta autocontenida que requiere acceso directo a datos registrados</t>
  </si>
  <si>
    <t xml:space="preserve"> {'@1': {'solicitud': 'Obtener el valor de consumo energético total del hogar completo correspondiente a los meses de junio, julio y agosto del año actual', 'escenario': 'consumo_basico'}} | notas: El usuario solicita específicamente valores de consumo histórico para un intervalo temporal explícito (tres meses consecutivos). Se identifica como consumo_basico porque:
1. La intención es acceder a datos históricos cuantitativos
2. El periodo solicitado está claramente definido
3. No hay elementos comparativos, de detección de patrones o estimación futura
4. Cumple con los criterios de 'usar_si' de consumo_basico al pedir valores para periodos temporales específicos</t>
  </si>
  <si>
    <t xml:space="preserve"> {'@1': {'solicitud': "Obtener el valor de consumo energético del dispositivo 'aire acondicionado' durante el período comprendido entre el inicio y el final del fin de semana pasado.", 'escenario': 'consumo_basico'}} | notas: Se clasifica en 'consumo_basico' porque: 
1. Solicita un dato de consumo histórico específico (verbo "consumió" en pasado). 
2. Especifica un intervalo temporal claro ("fin de semana pasado") que puede inferirse operacionalmente. 
3. La respuesta esperada es un valor cuantitativo puntual sin análisis comparativo ni procesamiento predictivo. 
4. No involucra comparaciones, detección de patrones o escenarios hipotéticos.</t>
  </si>
  <si>
    <t xml:space="preserve"> {'@1': {'solicitud': 'Obtener el consumo energético de la casa completa para el día lunes', 'escenario': 'consumo_basico'}, '@2': {'solicitud': 'Obtener el consumo energético de la casa completa para el día martes', 'escenario': 'consumo_basico'}} | notas: Se categoriza como 'consumo_basico' porque:
1. El usuario solicita valores históricos puntuales de consumo (no inferencias ni comparaciones)
2. Se especifican intervalos temporales explícitos (lunes y martes)
3. La naturaleza de la consulta es informativa, busca datos cuantitativos concretos
4. Cada día constituye una solicitud autocontenida independiente
5. No hay términos comparativos ni análisis de patrones en el prompt</t>
  </si>
  <si>
    <t xml:space="preserve"> {'@1': {'solicitud': 'Mostrar el consumo energético del horno durante el mes de enero y durante el mes de febrero', 'escenario': 'consumo_basico'}} | notas: - La solicitud se categoriza bajo 'consumo_basico' porque el usuario solicita valores específicos de consumo energético histórico para un dispositivo (horno), dentro de intervalos temporales claramente definidos (enero y febrero).
- No se detectaron elementos comparativos ("vs", "comparar", "diferencia"), análisis de patrones ni estimaciones futuras que correspondan a otros escenarios.
- Se considera una única solicitud autocontenida al especificar periodos consecutivos para el mismo dispositivo.</t>
  </si>
  <si>
    <t xml:space="preserve"> {'@1': {'solicitud': 'Obtener el consumo energético registrado para los dispositivos Nevera, Lavadora y Secadora durante el domingo más reciente', 'escenario': 'consumo_basico'}} | notas: Se selecciona 'consumo_basico' porque la solicitud cumple con tres criterios: 1) Su intención principal es obtener valores de consumo históricos para dispositivos específicos (nevera/lavadora/secadora), 2) Se especifica un periodo temporal concreto (domingo), 3) La respuesta esperada es un conjunto de datos cuantitativos sin requerir comparaciones, proyecciones ni análisis de patrones.</t>
  </si>
  <si>
    <t xml:space="preserve"> {'@1': {'solicitud': 'Obtener el consumo energético de mi PC durante el día de ayer', 'escenario': 'consumo_basico'}, '@2': {'solicitud': 'Obtener el consumo energético de mi monitor durante el día de ayer', 'escenario': 'consumo_basico'}, '@3': {'solicitud': 'Obtener el consumo energético de mi router durante el día de ayer', 'escenario': 'consumo_basico'}} | notas: Se categorizan las solicitudes en 'consumo_basico' porque:
1. Todas corresponden a consultas de valores energéticos históricos
2. Cada elemento mencionado (PC, monitor, router) constituye una solicitud independiente
3. El periodo temporal está explícitamente definido (ayer)
4. La respuesta esperada es una serie de valores cuantitativos puntuales
5. No se detectan elementos comparativos, análisis de patrones ni proyecciones futuras</t>
  </si>
  <si>
    <t xml:space="preserve"> {'@1': {'solicitud': 'Consultar el consumo energético de la nevera durante el día de ayer (fecha específica)', 'escenario': 'consumo_basico'}, '@2': {'solicitud': 'Consultar el consumo energético de la lavadora durante el día de ayer (fecha específica)', 'escenario': 'consumo_basico'}} | notas: Se identificaron dos solicitudes independientes en el mismo input:
1. Solicitud de consumo de nevera ayer: Es una consulta histórica específica con intervalo temporal definido (ayer), correspondiente a consumo_basico.
2. Solicitud de consumo de lavadora ayer: Mismo patrón que la anterior, consulta puntual con periodo temporal explícito, clasificada en consumo_basico.
Ambas peticiones cumplen con las condiciones de 'consumo_basico': solicitan valores históricos específicos sin análisis comparativo ni detección de patrones.</t>
  </si>
  <si>
    <t xml:space="preserve"> {'@1': {'solicitud': 'Obtener el consumo energético del ventilador durante el día de ayer (fecha concreta según contexto)', 'escenario': 'consumo_basico'}, '@2': {'solicitud': 'Identificar si existieron picos de consumo anómalos en el ventilador durante el día de ayer (fecha concreta según contexto)', 'escenario': 'deteccion_anomalias_tendencias'}} | notas: - Para "@1": Se ejecuta en 'consumo_basico' porque solicita un valor histórico puntual de consumo con intervalo temporal claramente definido ("ayer")
- Para "@2": Se ejecuta en 'deteccion_anomalias_tendencias' porque busca identificar comportamientos irregulares (picos extraños) mediante análisis de patrones</t>
  </si>
  <si>
    <t xml:space="preserve"> {'@1': {'solicitud': 'Proporcionar el valor de consumo energético del aire acondicionado en la semana actual', 'escenario': 'consumo_basico'}, '@2': {'solicitud': 'Comparar el consumo energético del aire acondicionado entre la semana actual y la semana anterior', 'escenario': 'comparacion_consumos'}} | notas: - @1: Clasificado como 'consumo_basico' porque la primera parte de la solicitud consiste en recuperar un valor de consumo específico para un periodo temporal definido (esta semana)
- @2: Clasificado como 'comparacion_consumos' porque existe un requerimiento explícito de análisis comparativo entre dos periodos temporales con proposito evaluativo (semana actual vs. semana anterior)
- Ninguna parte de la solicitud requiere detección de anomalías o proyecciones futuras, y ambas sub-solicitudes están dentro del dominio de consumo energético del hogar</t>
  </si>
  <si>
    <t xml:space="preserve"> {'@1': {'solicitud': "Obtener el consumo energético del dispositivo 'aire acondicionado' durante el día de ayer", 'escenario': 'consumo_basico'}, '@2': {'solicitud': 'Determinar si el consumo energético registrado implica que el usuario es irresponsable', 'escenario': 'entrada_inadmisible'}} | notas: 1. La primera solicitud (@1) se categoriza bajo 'consumo_basico' porque solicita un valor histórico de consumo energético para un dispositivo específico con un intervalo temporal definido (ayer), cumpliendo con los criterios de consulta puntual sin análisis comparativo o inferencial. 
2. La segunda solicitud (@2) se clasifica como 'entrada_inadmisible' porque implica una evaluación subjetiva de responsabilidad personal, lo cual está fuera del dominio del sistema (monitoreo energético). El sistema no posee capacidad para emitir juicios de valor éticos o evaluar comportamientos humanos.</t>
  </si>
  <si>
    <t xml:space="preserve"> {'@1': {'solicitud': 'Obtener el consumo energético de la nevera durante el día de ayer', 'escenario': 'consumo_basico'}, '@2': {'solicitud': 'Comparar el consumo energético total de la nevera versus el horno durante el mismo periodo temporal (ayer)', 'escenario': 'comparacion_consumos'}} | notas: - Para @1: La primera parte de la consulta ("¿Cuánto consumió mi nevera ayer?") corresponde a consumo_basico ya que solicita un valor histórico específico para un dispositivo, con intervalo temporal definido (ayer). Cumple criterios de acceder a datos puntuales sin análisis comparativo.
- Para @2: La segunda parte ("¿cuál consumió más, la nevera o el horno?") entra en comparacion_consumos porque pide una comparación explícita entre dos dispositivos usando término comparativo "más". Requiere análisis de diferencias relativas.</t>
  </si>
  <si>
    <t xml:space="preserve"> {'@1': {'solicitud': 'Obtener el consumo energético de la lavadora durante el sábado', 'escenario': 'consumo_basico'}, '@2': {'solicitud': 'Determinar si el consumo de la lavadora del sábado fue mayor que el del domingo', 'escenario': 'comparacion_consumos'}} | notas: - La primera solicitud (@1) se categoriza como 'consumo_basico' porque solicita consultar un valor histórico de consumo energético para un dispositivo específico en un periodo temporal explícito (sábado)
- La segunda solicitud (@2) corresponde a 'comparacion_consumos' ya que plantea una comparación explícita ("fue más que") de consumos entre dos periodos diferentes (sábado vs domingo) utilizando términos comparativos
- Ambas partes son autocontenidas, mapean claramente al dominio energético y cumplen criterios específicos de los escenarios mediante verificación semántica</t>
  </si>
  <si>
    <t xml:space="preserve"> {'@1': {'solicitud': 'Consultar el consumo energético de mi nevera durante el día de ayer', 'escenario': 'consumo_basico'}, '@2': {'solicitud': 'Comparar el consumo energético de la nevera entre el día de ayer y el sábado pasado', 'escenario': 'comparacion_consumos'}} | notas: - @1 se categoriza como 'consumo_basico' porque solicita un valor histórico puntual (consumo de un dispositivo específico en un día concreto)
- @2 se categoriza como 'comparacion_consumos' porque implica una comparación explícita entre dos periodos temporales distintos usando términos comparativos ("compáralo")
- Ambas solicitudes pertenecen al dominio del sistema al referirse a mediciones de consumo energético
- Ninguna solicitud requiere detección de anomalías, predicciones o escenarios hipotéticos</t>
  </si>
  <si>
    <t xml:space="preserve"> {'@1': {'solicitud': 'Obtener el consumo energético total del hogar durante el mes de noviembre', 'escenario': 'consumo_basico'}, '@2': {'solicitud': 'Comparar el consumo energético total del hogar entre los meses de octubre y noviembre', 'escenario': 'comparacion_consumos'}} | notas: - @1: Se categoriza como 'consumo_basico' porque solicita un valor histórico de consumo dentro de un periodo definido (noviembre). Cumple criterios de consulta puntual con intervalo temporal explícito.
- @2: Se categoriza como 'comparacion_consumos' porque solicita una comparación explícita entre dos periodos (octubre vs noviembre). El uso de "cómo se compara" activa el escenario de análisis comparativo.</t>
  </si>
  <si>
    <t xml:space="preserve"> {'@1': {'solicitud': 'Obtener el consumo energético del televisor correspondiente a ayer', 'escenario': 'consumo_basico'}, '@2': {'solicitud': 'Comparar el consumo del televisor de ayer con el consumo de hoy', 'escenario': 'comparacion_consumos'}} | notas: - Para @1 se seleccionó 'consumo_basico' porque solicita un valor histórico de consumo específico para un dispositivo (televisor) en un período temporal explícito (ayer)
- Para @2 se seleccionó 'comparacion_consumos' porque contiene una petición explícita de comparación entre dos períodos distintos (ayer vs hoy), usando un verbo comparativo ("compáralo") que implica análisis de diferencias</t>
  </si>
  <si>
    <t xml:space="preserve"> {'@1': {'solicitud': "Obtener el consumo energético (en kWh) del dispositivo 'nevera' durante el periodo completo del mes de enero del año actual.", 'escenario': 'consumo_basico'}} | notas: Se seleccionó el escenario 'consumo_basico' porque: 
1. La consulta solicita explícitamente un valor de consumo histórico para un dispositivo específico. 
2. Se menciona un periodo temporal claramente definido (mes de enero). 
3. No existen elementos de comparación, detección de patrones o estimaciones futuras en la solicitud. 
4. La intención se alinea con la descripción de acceso a datos puntuales/históricos en el escenario definido.</t>
  </si>
  <si>
    <t xml:space="preserve"> {'@1': {'solicitud': 'Obtener el consumo energético del horno durante el mes actual', 'escenario': 'consumo_basico'}, '@2': {'solicitud': 'Identificar si existen anomalías en el consumo energético del horno durante el mes actual', 'escenario': 'deteccion_anomalias_tendencias'}} | notas: 1. Para "@1": 
   - Cumple con 'consumo_basico' porque solicita un valor histórico específico para un dispositivo (horno) en un periodo definido (este mes)
   - Alineado con 'usar_si' (consultar valores de consumo en intervalo temporal)
2. Para "@2": 
   - Corresponde a 'deteccion_anomalias_tendencias' por la mención explícita de verificación de anomalías
   - Se ajusta a 'usar_si' (menciona detección de anomalías/consumos irregulares)</t>
  </si>
  <si>
    <t xml:space="preserve"> {'@1': {'solicitud': 'Obtener el consumo energético total del hogar para el mes actual', 'escenario': 'consumo_basico'}, '@2': {'solicitud': 'Comparar el consumo energético total del hogar entre el mes actual y el mes anterior para determinar si hubo aumento', 'escenario': 'comparacion_consumos'}} | notas: - Para @1: Se aplica 'consumo_basico' porque solicita un valor histórico cuantitativo con periodo temporal explícito (mes actual)
- Para @2: Se aplica 'comparacion_consumos' porque plantea una comparación explícita (+aumentó) entre dos períodos distintos usando términos comparativos</t>
  </si>
  <si>
    <t xml:space="preserve"> {'@1': {'solicitud': 'Dime el consumo del horno ayer', 'escenario': 'consumo_basico'}, '@2': {'solicitud': 'dime si el consumo del horno ayer fue anormal', 'escenario': 'deteccion_anomalias_tendencias'}} | notas: Se identificaron dos solicitudes independientes: 
1. La primera pide un valor histórico específico de consumo (ayer) para un dispositivo particular (horno), cumpliendo los criterios de 'consumo_basico' al requerir datos cuantitativos en un intervalo temporal definido.
2. La segunda solicita la detección de un comportamiento anómalo en el consumo reportado, lo que activa el escenario 'deteccion_anomalias_tendencias' al buscar identificar irregularidades o desviaciones respecto a patrones normales.</t>
  </si>
  <si>
    <t xml:space="preserve"> {'@1': {'solicitud': 'Mostrar el consumo energético de la lavadora para el día lunes', 'escenario': 'consumo_basico'}, '@2': {'solicitud': 'Comparar el consumo energético de la lavadora registrado el lunes con el registrado el martes', 'escenario': 'comparacion_consumos'}} | notas: La solicitud original contiene dos componentes diferenciados: 1) Una petición directa de valores de consumo para un período específico (consumo histórico puntual para el lunes), que corresponde al escenario 'consumo_basico' según los criterios de incluir un período temporal explícito y buscar valores cuantitativos. 2) Una solicitud de comparación explícita entre dos períodos distintos (lunes vs martes), con uso de términos comparativos ("compárela"), que pertenece naturalmente al escenario 'comparacion_consumos'. Las solicitudes se mantienen separadas pues cada una requiere operaciones diferentes y son autocontenidas.</t>
  </si>
  <si>
    <t xml:space="preserve"> {'@1': {'solicitud': 'Obtener el consumo energético exacto de la nevera durante el día de ayer', 'escenario': 'consumo_basico'}, '@2': {'solicitud': 'Comparar el consumo de la nevera con el de la lavadora durante el mismo periodo temporal', 'escenario': 'comparacion_consumos'}, '@3': {'solicitud': 'Verificar la existencia de picos de consumo atípicos en los dispositivos analizados', 'escenario': 'deteccion_anomalias_tendencias'}} | notas: - @1: Clasificado como 'consumo_basico' porque solicita un valor cuantitativo histórico para un dispositivo específico en un intervalo temporal definido (ayer), cumpliendo los criterios de consulta puntual sin análisis comparativo.
- @2: Clasificado como 'comparacion_consumos' ya que implica una comparación explícita entre dos dispositivos usando el marcador "compárala", requiriendo evaluación de diferencias relativas.
- @3: Clasificado como 'deteccion_anomalias_tendencias' por la mención de "picos raros", lo que indica búsqueda de anomalías o inconsistencias en los patrones de consumo.</t>
  </si>
  <si>
    <t xml:space="preserve"> {'@1': {'solicitud': 'Obtener el consumo energético total acumulado del hogar durante el año en curso (a la fecha actual).', 'escenario': 'consumo_basico'}, '@2': {'solicitud': 'Identificar si existe una tendencia ascendente sostenida en el consumo energético total del hogar durante el transcurso del año en curso.', 'escenario': 'deteccion_anomalias_tendencias'}} | notas: - Para @1: Se seleccionó 'consumo_basico' porque la solicitud principal es consultar un valor específico de consumo energético histórico (total acumulado) para el ámbito completo del hogar. Aunque no se especifica explícitamente el periodo, se infiere claramente el año en curso como intervalo temporal a partir del contexto de la segunda solicitud. La respuesta necesaria es un valor cuantitativo puntual.
- Para @2: Se eligió 'deteccion_anomalias_tendencias' porque la solicitud requiere analizar series temporales de consumo para determinar si existe un crecimiento sostenido. Esto implica estudiar patrones temporales (tendencias a mediano/largo plazo) en el comportamiento energético, característico de este escenario de diagnóstico.</t>
  </si>
  <si>
    <t xml:space="preserve"> {'@1': {'solicitud': "Obtener el valor de consumo energético registrado para el dispositivo 'PC' durante el día de ayer", 'escenario': 'consumo_basico'}, '@2': {'solicitud': "Determinar si existe una tendencia sostenida de aumento en el consumo energético del dispositivo 'PC' durante el transcurso del mes actual", 'escenario': 'deteccion_anomalias_tendencias'}} | notas: - Para @1 se eligió 'consumo_basico' porque corresponde a una consulta puntual de consumo energético histórico con intervalo temporal definido (ayer)
- Para @2 se eligió 'deteccion_anomalias_tendencias' porque implica identificar un patrón temporal de consumo creciente (verbos "ha venido aumentando") que requiere análisis de tendencias</t>
  </si>
  <si>
    <t xml:space="preserve"> {'@1': {'solicitud': 'Dime el consumo del aire acondicionado la semana pasada', 'escenario': 'consumo_basico'}, '@2': {'solicitud': 'Analiza si hubo anomalías en el consumo del aire acondicionado la semana pasada', 'escenario': 'deteccion_anomalias_tendencias'}} | notas: - Para @1: Se eligió 'consumo_basico' porque solicita un valor histórico específico (consumo del aire acondicionado) en un periodo temporal definido (semana pasada), cumpliendo con los criterios de consulta puntual sin análisis comparativo o inferencial.
- Para @2: Se asignó 'deteccion_anomalias_tendencias' ya que la solicitud implica identificar patrones irregulares o desviaciones en el consumo energético. Requiere análisis de datos históricos para detectar comportamientos anómalos según criterios establecidos para este escenario.
- Las solicitudes se dividieron en dos porque presentan intenciones distintas aunque relacionadas: una es consulta de datos y otra es análisis de patrones.</t>
  </si>
  <si>
    <t xml:space="preserve"> {'@1': {'solicitud': 'Obtener el consumo energético del televisor durante el día de ayer (formato: [YYYY-MM-DD]).', 'escenario': 'consumo_basico'}, '@2': {'solicitud': 'Analizar si existe una tendencia sostenida de aumento en el consumo energético del televisor durante los últimos 30 días.', 'escenario': 'deteccion_anomalias_tendencias'}} | notas: - @1: Clasificado como 'consumo_basico' porque solicita un dato histórico puntual con intervalo temporal definido (ayer).
- @2: Clasificado como 'deteccion_anomalias_tendencias' porque requiere identificar un patrón de aumento sostenido, lo cual implica análisis de tendencias.</t>
  </si>
  <si>
    <t xml:space="preserve"> {'@1': {'solicitud': 'Obtener el consumo energético del ventilador durante el mes actual', 'escenario': 'consumo_basico'}, '@2': {'solicitud': 'Determinar si existe una tendencia creciente en el consumo energético del ventilador durante el mes actual', 'escenario': 'deteccion_anomalias_tendencias'}} | notas: - @1: Se categoriza en 'consumo_basico' porque solicita un valor histórico de consumo para un dispositivo específico (ventilador) en un periodo temporal definido (mes actual), sin requerir comparaciones ni análisis complejos.
- @2: Se categoriza en 'deteccion_anomalias_tendencias' porque implica identificar patrones de comportamiento (tendencia creciente) mediante análisis de variaciones en la serie temporal del consumo durante el mismo periodo.</t>
  </si>
  <si>
    <t xml:space="preserve"> {'@1': {'solicitud': 'Obtener el consumo energético de la PC para el periodo correspondiente a esta semana (desde [fecha_inicio] hasta [fecha_fin])', 'escenario': 'consumo_basico'}, '@2': {'solicitud': 'Comparar el consumo de la PC registrado esta semana (desde [fecha_inicio_actual] hasta [fecha_fin_actual]) con el consumo registrado la semana anterior (desde [fecha_inicio_anterior] hasta [fecha_fin_anterior])', 'escenario': 'comparacion_consumos'}} | notas: - La solicitud @1 se categoriza como 'consumo_basico' porque requiere valores de consumo histórico para un dispositivo específico en un periodo definido (semana actual), ajustándose a los criterios de consulta cuantitativa con intervalo temporal explícito.
- La solicitud @2 se categoriza como 'comparacion_consumos' ya que implica una comparación directa entre dos periodos temporales distintos utilizando datos históricos, detectándose el uso del verbo comparativo "compararlo" en la solicitud original.
- Ambas solicitudes son completamente autocontenidas al especificar periodos temporales diferenciados (semana actual vs. semana anterior) y reunir individualmente los requisitos de sus respectivos escenarios.</t>
  </si>
  <si>
    <t xml:space="preserve"> {'@1': {'solicitud': 'Obtener el consumo energético del televisor durante el día de ayer', 'escenario': 'consumo_basico'}, '@2': {'solicitud': 'Evaluar si debería cambiar de carrera profesional', 'escenario': 'entrada_inadmisible'}} | notas: - @1: Clasificado como 'consumo_basico' porque corresponde a una consulta histórica de consumo energético para un dispositivo específico (televisor) con periodo temporal explícito (ayer)
- @2: Clasificado como 'entrada_inadmisible' porque la orientación profesional no pertenece al dominio de análisis de consumo energético del hogar y ninguna característica de la solicitud puede mapearse a los escenarios admitidos</t>
  </si>
  <si>
    <t xml:space="preserve"> {'@1': {'solicitud': 'Proporcionar el consumo energético registrado del aire acondicionado durante la semana actual', 'escenario': 'consumo_basico'}, '@2': {'solicitud': 'Comparar cuantitativamente el consumo energético del aire acondicionado entre la semana actual y la semana anterior', 'escenario': 'comparacion_consumos'}, '@3': {'solicitud': 'Identificar patrones de comportamiento sostenido o variaciones significativas en el consumo del aire acondicionado entre ambas semanas', 'escenario': 'deteccion_anomalias_tendencias'}} | notas: - @1: Se clasifica como "consumo_basico" porque solicita un valor de consumo histórico específico para un periodo definido (esta semana).
- @2: Corresponde a "comparacion_consumos" al solicitar una comparación explícita con otro periodo temporal usando términos comparativos.
- @3: Se aplica "deteccion_anomalias_tendencias" al requerir un análisis de comportamiento sostenido o variaciones en el tiempo que pueden indicar tendencias.</t>
  </si>
  <si>
    <t xml:space="preserve"> {'@1': {'solicitud': 'Dime el consumo del horno este mes', 'escenario': 'consumo_basico'}, '@2': {'solicitud': 'Analiza si hay anomalías en el consumo del horno este mes', 'escenario': 'deteccion_anomalias_tendencias'}, '@3': {'solicitud': 'Determina si el consumo del horno va en aumento durante este mes', 'escenario': 'deteccion_anomalias_tendencias'}} | notas: Se categorizó la solicitud en tres partes autocontenidas:
1. "@1" (consumo_basico): Cumple con la definición al solicitar un valor histórico con períodos explícitos. 
La respuesta esperada es un valor cuantitativo mensual.
2. "@2" (deteccion_anomalias_tendencias): Contiene un pedido explícito de análisis de irregularidades, 
requiriendo identificación de patrones anómalos según datos históricos.
3. "@3" (deteccion_anomalias_tendencias): Busca identificar tendencias sostenidas mediante análisis de variaciones temporales, 
respondiendo con evaluación de aumentos/disminuciones constantes.</t>
  </si>
  <si>
    <t xml:space="preserve"> {'@1': {'solicitud': 'Obtener el consumo energético total de la casa durante el mes de octubre', 'escenario': 'consumo_basico'}, '@2': {'solicitud': 'Comparar el consumo energético total de la casa entre los meses de octubre y noviembre', 'escenario': 'comparacion_consumos'}, '@3': {'solicitud': 'Detectar la presencia de picos de consumo inusuales en los registros energéticos de la casa durante octubre y noviembre', 'escenario': 'deteccion_anomalias_tendencias'}} | notas: - @1: Se categoriza como 'consumo_basico' porque solicita un valor histórico de consumo para un periodo temporal explícito (octubre) según criterios del escenario.
- @2: Corresponde a 'comparacion_consumos' al solicitar una comparación explícita entre dos periodos mediante la conjunción "cómo se compara".
- @3: Usa 'deteccion_anomalias_tendencias' por la referencia directa a "pico raro", que implica detección de anomalías en datos históricos.</t>
  </si>
  <si>
    <t xml:space="preserve"> {'@1': {'solicitud': 'Obtener el consumo energético de la nevera correspondiente a la fecha de ayer', 'escenario': 'consumo_basico'}, '@2': {'solicitud': 'Obtener el consumo energético de la lavadora correspondiente a la fecha de ayer', 'escenario': 'consumo_basico'}, '@3': {'solicitud': 'Comparar los consumos energéticos de la nevera y la lavadora correspondientes a la fecha de ayer', 'escenario': 'comparacion_consumos'}, '@4': {'solicitud': 'Identificar si la nevera o la lavadora presentaron un consumo irregular o anómalo en la fecha de ayer', 'escenario': 'deteccion_anomalias_tendencias'}} | notas: - Se categorizan las solicitudes @1 y @2 como 'consumo_basico' porque ambas buscan valores históricos puntuales con intervalo temporal explícito ('ayer'). Cumplen con: consulta de valores energéticos + periodo definido.
- Se categoriza @3 como 'comparacion_consumos' porque busca contrastar dos consumos específicos usando verbo comparativo ('compararlas') implícito en la solicitud.
- Se categoriza @4 como 'deteccion_anomalias_tendencias' porque requiere análisis de irregularidades ('consumo extraño'), encajando en la identificación de anomalías mediante criterios de desviación.
- Todas las solicitudes permanecen dentro del dominio y sus intenciones son claramente mapeables a escenarios admitidos.</t>
  </si>
  <si>
    <t xml:space="preserve"> {'@1': {'solicitud': 'Obtener el consumo energético total acumulado para todo el hogar durante el año actual hasta la fecha', 'escenario': 'consumo_basico'}, '@2': {'solicitud': 'Comparar el consumo energético promedio por mes del año actual con el consumo promedio por mes del año anterior para determinar si ha existido un aumento significativo en el consumo del hogar', 'escenario': 'comparacion_consumos'}, '@3': {'solicitud': 'Identificar días con consumos energéticos atípicos en el hogar durante el año actual, considerando desviaciones significativas respecto a los patrones históricos y definiendo umbrales de anomalía estadística', 'escenario': 'deteccion_anomalias_tendencias'}} | notas: Se identificaron tres solicitudes claramente diferenciables en el prompt:
1. "@1" corresponde a 'consumo_basico' porque solicita un valor cuantitativo específico de consumo total sin elementos comparativos o analíticos.
2. "@2" se categoriza como 'comparacion_consumos' debido al uso del verbo "aumentado" que implica una comparación relativa entre periodos temporales distintos.
3. "@3" pertenece a 'deteccion_anomalias_tendencias' ya que hace referencia explícita a identificar eventos anómalos ("días anómalos"), lo que requiere análisis de patrones atípicos.</t>
  </si>
  <si>
    <t xml:space="preserve"> {'@1': {'solicitud': "Obtener el consumo energético del dispositivo 'ventilador' durante el día de ayer", 'escenario': 'consumo_basico'}, '@2': {'solicitud': "Obtener el consumo energético del dispositivo 'PC' durante el día de hoy", 'escenario': 'consumo_basico'}, '@3': {'solicitud': 'Realizar una comparación cuantitativa entre el consumo del ventilador (ayer) y el consumo del PC (hoy)', 'escenario': 'comparacion_consumos'}} | notas: - @1: Se clasifica en 'consumo_basico' porque solicita un valor histórico específico para un dispositivo con intervalo temporal definido (ayer)
- @2: Se clasifica en 'consumo_basico' por la misma lógica: solicitud puntual de consumo para dispositivo en intervalo temporal (hoy)
- @3: Cae en 'comparacion_consumos' por contener verbo comparativo explícito ('comparación') que requiere análisis relativo entre dos consumos medidos</t>
  </si>
  <si>
    <t xml:space="preserve"> {'@1': {'solicitud': 'Obtener el valor de consumo energético exacto del aire acondicionado registrado ayer (indicando fecha concreta)', 'escenario': 'consumo_basico'}, '@2': {'solicitud': 'Comparar cuantitativamente el consumo del aire acondicionado entre ayer y el consumo diario promedio registrado durante la semana pasada', 'escenario': 'comparacion_consumos'}, '@3': {'solicitud': 'Identificar si existen patrones o tendencias sostenidas de aumento/disminución en el consumo del aire acondicionado durante los últimos 7-15 días', 'escenario': 'deteccion_anomalias_tendencias'}} | notas: 1. @1: Se categoriza como consumo_basico porque solicita un valor numérico puntual para un dispositivo específico en período temporal explícito. Cumple criterios: consulta histórica, fecha determinada, respuesta cuantitativa.
2. @2: Se categoriza como comparacion_consumos por uso de término comparativo "cómo se compara" entre dos períodos distintos (ayer vs semana pasada). Implica análisis relativo de variables energéticas.
3. @3: Se categoriza como deteccion_anomalias_tendencias por mención de "tendencia": implica identificar patrones temporales sostenidos, no solo valores puntuales. Requiere análisis de serie histórica para detectar comportamientos.</t>
  </si>
  <si>
    <t xml:space="preserve"> {'@1': {'solicitud': 'Obtener el valor de consumo energético de la nevera durante el día de ayer', 'escenario': 'consumo_basico'}, '@2': {'solicitud': 'Obtener el valor de consumo energético del televisor durante el día de ayer', 'escenario': 'consumo_basico'}, '@3': {'solicitud': 'Comparar el consumo energético entre la nevera y el televisor durante el día de ayer para determinar cuál dispositivo tuvo mayor consumo', 'escenario': 'comparacion_consumos'}} | notas: El análisis detectó tres componentes en la solicitud:
1. La consulta sobre el consumo de la nevera (@1) cumple con 'consumo_basico' porque pide un valor histórico puntual con intervalo temporal explícito (ayer)
2. La consulta sobre el consumo del televisor (@2) también pertenece a 'consumo_basico' por los mismos motivos 
3. La comparación explícita "cuál fue mayor" (@3) requiere el escenario 'comparacion_consumos' ya que implica analizar diferencias relativas entre dispositivos usando términos comparativos. Se mantienen separadas para mantener la autocontención de cada solicitud.
Ningún componente involucra detección de anomalías, predicciones o temas fuera del dominio energético.</t>
  </si>
  <si>
    <t xml:space="preserve"> {'@1': {'solicitud': 'Obtener el consumo energético de la nevera durante el día anterior.', 'escenario': 'consumo_basico'}, '@2': {'solicitud': 'Comparar el consumo energético de la nevera con el de la lavadora durante el mismo periodo temporal.', 'escenario': 'comparacion_consumos'}, '@3': {'solicitud': 'Evaluar si el ahorro derivado de los consumos detectados permite financiar un viaje, requiriendo una proyección económica basada en datos energéticos.', 'escenario': 'prediccion_estimacion'}} | notas: - **@1**: Clasificado como 'consumo_basico' porque se solicita un valor histórico puntual con un intervalo temporal explícito ("ayer").
- **@2**: Clasificado como 'comparacion_consumos' por requerir una comparación directa entre dos dispositivos usando términos comparativos implícitos ("compárala").
- **@3**: Clasificado como 'prediccion_estimacion' al implicar una estimación económica futura basada en patrones de consumo. Aunque el escenario financiero excede el dominio energético, se asigna esta categoría al requerir una proyección hipotética a partir de datos existentes.</t>
  </si>
  <si>
    <t xml:space="preserve"> {'@1': {'solicitud': 'Consultar consumo energético histórico de la lavadora durante el último fin de semana (sábado y domingo)', 'escenario': 'consumo_basico'}, '@2': {'solicitud': 'Comparar consumo energético entre lavadora y horno durante el último fin de semana', 'escenario': 'comparacion_consumos'}, '@3': {'solicitud': 'Identificar posibles picos de consumo energético anómalos durante el último fin de semana', 'escenario': 'deteccion_anomalias_tendencias'}} | notas: - @1-&gt;consumo_basico: Cumple criterio de consulta puntual con periodo temporal explícito (fin de semana)
- @2-&gt;comparacion_consumos: Cumple criterio comparativo explícito entre dispositivos con mismos parámetros temporales
- @3-&gt;deteccion_anomalias_tendencias: Cumple criterio de detección de irregularidades (picos) en datos históricos</t>
  </si>
  <si>
    <t>The model correctly decomposes the input 'Dime el consumo de mi televisor ayer y dime también si eso fue moralmente correcto' into two distinct intentions, '@1' for energy consumption and '@2' for moral evaluation, without inventing information. Both intentions are accurately classified: '@1' as 'consumo_basico' and '@2' as 'entrada_inadmisible', aligning perfectly with the Expected Output. The 'notas' field provides clear and consistent reasoning for each classification, demonstrating strong internal coherence.</t>
  </si>
  <si>
    <t>The model accurately identifies the single user intention from the input '¿Cuál fue el consumo energético de mi horno el 15 de noviembre?'. It correctly classifies this intention under the 'consumo_basico' scenario, matching the Expected Output. Furthermore, the 'notas' field provides a clear and coherent explanation for this classification, detailing why the request fits the 'consumo_basico' criteria (historical, specific date, no complex analysis).</t>
  </si>
  <si>
    <t>The model correctly decomposes the input into a single intention (A1) without inventing information (A2). It accurately classifies the intention as 'consumo_basico', matching the Expected Output (B1). The 'notas' field provides clear and consistent reasoning for this classification, demonstrating strong internal coherence (A4). The model correctly infers the explicit intention (A3). The only minor difference is that the 'solicitud' field in the Actual Output is a direct copy of the input, whereas the Expected Output rephrases it slightly, but this does not detract from the correctness of the decomposition or classification.</t>
  </si>
  <si>
    <t>El modelo descompone correctamente la solicitud del usuario en una única intención, sin inventar información. La clasificación del escenario como 'entrada_inadmisible' es precisa, ya que la consulta sobre la 'felicidad de la casa' no corresponde al dominio del análisis energético. La explicación en las 'notas' es clara, coherente y justifica adecuadamente la clasificación, alineándose perfectamente con el comportamiento esperado para una entrada de este tipo.</t>
  </si>
  <si>
    <t>The model correctly decomposes the input into a single, independent intention (A1) without inventing any information (A2). It accurately classifies the intention as 'consumo_basico', which aligns perfectly with the Expected Output (B1). The 'notas' field provides a clear, detailed, and consistent reasoning for the chosen scenario, demonstrating strong internal coherence (A4). The `solicitud` also correctly infers the user's implicit intent (A3) by specifying 'en kWh' and 'hogar completo', which are reasonable elaborations of 'consumo total de la casa'.</t>
  </si>
  <si>
    <t>The model correctly decomposes the input into two independent intentions, 'Consumo energético del ventilador esta semana' and 'Consumo energético de la lavadora la semana pasada', without inventing information. Both intentions are accurately classified as 'consumo_basico', aligning perfectly with the expected output. The 'notas' field provides clear and consistent reasoning for these classifications, referencing specific details like the devices (ventilador, lavadora) and time intervals (esta semana, semana pasada), demonstrating strong internal coherence.</t>
  </si>
  <si>
    <t>The model correctly decomposes the input 'Quiero saber el consumo del aire acondicionado en la mañana y en la noche de ayer' into two individual, independent intentions, one for the morning and one for the night, without inventing information (A1, A2). Both intentions are accurately classified under the 'consumo_basico' scenario (B1), aligning with the Expected Output. The 'notas' field provides a clear and consistent explanation for the classification and decomposition, demonstrating strong internal coherence (A4).</t>
  </si>
  <si>
    <t>The model correctly decomposes the input into a single request without inventing information (A1, A2). The inferred intention in the 'solicitud' field, 'Dime el consumo de mi lavadora el lunes pasado', accurately reflects the user's query and aligns perfectly with the 'Expected Output's interpretation (A3). Furthermore, the assigned scenario 'consumo_basico' is correct and matches the 'Expected Output' (B1). The 'notas' field provides a clear, coherent, and detailed justification for the scenario selection, consistent with the request for a specific historical consumption value for the washing machine on 'lunes pasado' (A4).</t>
  </si>
  <si>
    <t>The model correctly decomposes the input into a single, independent intention without inventing information. It accurately classifies the intention as 'consumo_basico', which aligns with the request 'Dime cuántos kWh consumió mi casa la semana pasada.' and matches the Expected Output. Furthermore, the 'notas' field provides clear and consistent reasoning for the chosen scenario, demonstrating strong internal coherence.</t>
  </si>
  <si>
    <t>El modelo descompone correctamente la solicitud del usuario en dos peticiones independientes para el televisor y el computador, sin inventar información (A1, A2). La interpretación de las intenciones y los detalles de las solicitudes coincide perfectamente con el 'Expected Output' (A3). Además, clasifica ambas solicitudes correctamente bajo el escenario 'consumo_basico', lo cual se alinea con el 'Expected Output' (B1). Las 'notas' del 'Actual Output' son claras, coherentes y proporcionan una justificación detallada y precisa para la categorización, lo que refuerza la calidad semántica (A4).</t>
  </si>
  <si>
    <t>The model successfully decomposed the input into a single, independent request without inventing information. The inferred intention, 'Obtener el consumo energético registrado del dispositivo 'ventilador' durante el día de ayer', accurately reflects the input 'Muéstrame el consumo del ventilador el día de ayer' and aligns perfectly with the expected output's interpretation. Furthermore, the 'consumo_basico' scenario was correctly assigned, and the 'notas' field provided a clear, coherent, and detailed justification for this classification, fulfilling all A1-A4 and B1 criteria.</t>
  </si>
  <si>
    <t>The model correctly decomposes the single request from the input 'Quiero saber cuánta energía gastó mi computador hoy', accurately interpreting the user's intention without inventing information (A1, A2, A3). It correctly assigns the 'consumo_basico' scenario, which aligns with the Expected Output (B1). Furthermore, the 'notas' field is exceptionally clear and coherent, providing a detailed and accurate justification for the scenario classification (A4), demonstrating a thorough understanding of the request.</t>
  </si>
  <si>
    <t>El modelo falla en la descomposición de la solicitud (A1), combinando los meses de junio, julio y agosto en una única intención de consumo para un intervalo temporal. Esto contrasta con el Expected Output, que descompone la solicitud en tres intenciones individuales e independientes, una por cada mes. Además, el modelo no infiere adecuadamente las intenciones implícitas de consultar el consumo para cada mes por separado (A3). Aunque la clasificación del escenario como 'consumo_basico' es correcta para la intención identificada y las 'notas' son internamente coherentes (A4), la falla fundamental en la descomposición y la inferencia de intenciones implícitas sitúa la calidad semántica en un nivel insuficiente.</t>
  </si>
  <si>
    <t>The model accurately decomposes the single request from the input '¿Cuánto consumió el aire acondicionado el fin de semana pasado?'. It correctly interprets the user's intention to 'Obtener el valor de consumo energético del dispositivo 'aire acondicionado' durante el período comprendido entre el inicio y el final del fin de semana pasado', which aligns well with the expected output's interpretation. No information is invented. Furthermore, the model correctly classifies the request into the 'consumo_basico' scenario, matching the expected output, and provides a detailed, coherent, and accurate justification in the 'notas' field for this classification.</t>
  </si>
  <si>
    <t>The model successfully decomposes the input into two independent requests for Monday and Tuesday's consumption, aligning perfectly with the expected output's interpretation (A1, A2, A3). Both requests are correctly classified under the 'consumo_basico' scenario, matching the expected output and providing a clear, coherent, and well-justified explanation in the 'notas' field (B1, A4). No information is invented, and the semantic quality is excellent.</t>
  </si>
  <si>
    <t>The model fails in the decomposition of the input request. The input 'Muéstrame el consumo del horno en enero y en febrero' clearly implies two distinct requests for consumption data for two separate months (January and February). The Actual Output incorrectly combines these into a single request, whereas the Expected Output correctly decomposes them into two independent requests. While the scenario classification ('consumo_basico') is correct for the type of request, the failure to properly decompose the input into individual, independent requests (A1) and the resulting misinterpretation of the natural language (A3) lead to insufficient semantic quality.</t>
  </si>
  <si>
    <t>The model failed to correctly decompose the input 'Quiero saber el consumo de mi nevera, mi lavadora y mi secadora el domingo' into individual, independent requests for each device, as indicated by the Expected Output. Instead, it combined them into a single request, which is a significant shortcoming in decomposition (A1). Additionally, the Actual Output invented information by adding 'más reciente' to 'domingo', which was not present in the original input (A2). This demonstrates a failure in semantic quality (A1-A4).</t>
  </si>
  <si>
    <t>The model correctly decomposes the input into three independent requests for energy consumption (A1), without inventing any information (A2). The inferred intentions and details within each request, such as 'Obtener el consumo energético de mi PC durante el día de ayer', align perfectly with the expected output's 'Consultar el consumo energético del PC durante el día de ayer' (A3). Furthermore, all decomposed requests are correctly classified under the 'consumo_basico' scenario, matching the expected output (B1). The 'notas' field provides a clear, coherent, and detailed justification for this classification, demonstrating a strong understanding of the request's characteristics (A4).</t>
  </si>
  <si>
    <t>The model correctly decomposes the input into two independent requests (A1) and assigns the correct 'consumo_basico' scenario to both, aligning with the Expected Output (B1). The inferred intentions are accurate, and no information is invented (A2). The 'notas' field is clear and coherent (A4). The only minor deviation is the addition of '(fecha específica)' in the 'solicitud' field of the Actual Output, which, while not present in the Expected Output, does not fundamentally alter the correct interpretation of the input (A3).</t>
  </si>
  <si>
    <t>The model correctly decomposes the input into two distinct intentions, 'Obtener el consumo energético del ventilador' and 'Identificar si existieron picos de consumo anómalos', without inventing information (A1, A2). It accurately infers the implicit temporal context 'ayer' for both requests (A3). Both intentions are correctly classified into 'consumo_basico' and 'deteccion_anomalias_tendencias' respectively, aligning with the expected output (B1). The 'notas' field provides clear and consistent reasoning for each classification, demonstrating strong internal coherence (A4).</t>
  </si>
  <si>
    <t>The model correctly decomposes the input into two distinct intentions, 'Proporcionar el valor de consumo energético del aire acondicionado en la semana actual' and 'Comparar el consumo energético del aire acondicionado entre la semana actual y la semana anterior', which aligns with the expected output's decomposition (A1). It does not invent any information (A2). Both intentions are correctly classified into 'consumo_basico' and 'comparacion_consumos' respectively, matching the expected output (B1). The 'notas' field provides clear and consistent reasoning for each classification, demonstrating strong internal coherence (A4). The model successfully handles the explicit comparison request from the input 'compáralo con la semana pasada'.</t>
  </si>
  <si>
    <t>The model correctly decomposes the input into two distinct intentions, '@1' for energy consumption and '@2' for a subjective evaluation, without inventing information. Both intentions are accurately classified into 'consumo_basico' and 'entrada_inadmisible' respectively, aligning perfectly with the Expected Output. The 'notas' field provides clear and consistent reasoning for each classification, demonstrating strong internal coherence.</t>
  </si>
  <si>
    <t>The model correctly decomposes the input into two distinct intentions, '@1' for basic consumption and '@2' for consumption comparison, without inventing any information. It accurately infers the implicit temporal context ('ayer') for the comparison in '@2'. Both intentions are correctly classified into 'consumo_basico' and 'comparacion_consumos' respectively, aligning perfectly with the Expected Output. Furthermore, the 'notas' field provides clear, consistent, and well-justified reasoning for both the identified requests and their scenario classifications, demonstrating strong internal coherence.</t>
  </si>
  <si>
    <t>The model correctly decomposes the input into two independent intentions, 'Obtener el consumo energético de la lavadora durante el sábado' and 'Determinar si el consumo de la lavadora del sábado fue mayor que el del domingo', without inventing information. It accurately infers the implicit comparison for the second intention. Both intentions are correctly classified into 'consumo_basico' and 'comparacion_consumos' respectively, aligning with the Expected Output. Furthermore, the 'notas' field provides clear and consistent reasoning for each classification, demonstrating strong internal coherence.</t>
  </si>
  <si>
    <t>The model correctly decomposes the input into two independent intentions, '@1' for consulting consumption and '@2' for comparing consumption, aligning perfectly with the Expected Output. It does not invent any information (A2) and correctly infers implicit details like the device for comparison. Both intentions are classified into the correct scenarios, 'consumo_basico' and 'comparacion_consumos' respectively (B1), matching the Expected Output. Furthermore, the 'notas' field provides clear and consistent reasoning for each classification, demonstrating strong internal coherence (A4).</t>
  </si>
  <si>
    <t>El modelo descompone correctamente la solicitud del usuario en dos intenciones claras y distintas, 'Obtener el consumo energético total del hogar durante el mes de noviembre' y 'Comparar el consumo energético total del hogar entre los meses de octubre y noviembre', sin inventar información. La interpretación de estas intenciones es coherente con el 'Expected Output'. Además, clasifica correctamente cada solicitud en su escenario correspondiente ('consumo_basico' y 'comparacion_consumos') y las 'notas' proporcionadas son claras y justifican adecuadamente las categorizaciones, demostrando una comprensión profunda de la lógica de clasificación.</t>
  </si>
  <si>
    <t>The model fails in the decomposition of the input (A1). It only identifies two independent intentions, whereas the Expected Output correctly identifies three, explicitly separating 'Consultar el consumo energético del televisor durante el día de hoy' as an independent intention. While the classifications for the identified intentions are correct (B1) and the internal coherence of the notes is maintained (A4), the incomplete decomposition is a significant shortcoming, placing it in the 0-4 range of the rubric.</t>
  </si>
  <si>
    <t>The model correctly decomposes the input into a single request (A1) and accurately classifies it under the 'consumo_basico' scenario (B1), aligning with the Expected Output. The 'notas' field is clear and coherent, providing a strong justification for the scenario choice (A4). The core intention of querying fridge consumption in January is correctly inferred. However, the 'solicitud' in the Actual Output includes 'del año actual', which is not explicitly present in the Input nor in the Expected Output, representing a minor invention of information (A2) and a slight deviation from the Expected Output's interpretation (A3). This prevents a perfect score.</t>
  </si>
  <si>
    <t>The model correctly decomposes the input 'Quiero el consumo del horno este mes y saber si hay alguna anomalía' into two distinct and independent requests. The inferred intentions for both requests, 'Obtener el consumo energético del horno durante el mes actual' and 'Identificar si existen anomalías en el consumo energético del horno durante el mes actual', align perfectly with the Expected Output's interpretation. Furthermore, both requests are correctly classified into their respective scenarios, 'consumo_basico' and 'deteccion_anomalias_tendencias', matching the Expected Output. The 'notas' field in the Actual Output provides clear, coherent, and accurate justifications for the scenario assignments, demonstrating a strong understanding of the context.</t>
  </si>
  <si>
    <t>El modelo descompone correctamente la solicitud del usuario en dos intenciones claras y distintas, 'Obtener el consumo energético total del hogar para el mes actual' y 'Comparar el consumo energético total del hogar entre el mes actual y el mes anterior para determinar si hubo aumento', sin inventar información (A1, A2). La interpretación de las intenciones es precisa y se alinea perfectamente con el 'Expected Output' (A3). Además, clasifica correctamente cada solicitud en su escenario correspondiente ('consumo_basico' y 'comparacion_consumos') y las 'notas' proporcionadas son claras y coherentes, justificando adecuadamente las asignaciones de escenario (B1, A4).</t>
  </si>
  <si>
    <t>The model correctly decomposes the input into two independent intentions, 'Dime el consumo del horno ayer' and 'dime si el consumo del horno ayer fue anormal', aligning perfectly with the Expected Output's structure and meaning. It accurately infers the implicit subject for the second request. Both intentions are correctly classified into 'consumo_basico' and 'deteccion_anomalias_tendencias' respectively, matching the Expected Output. Furthermore, the 'notas' field provides clear and consistent reasoning for each classification, demonstrating strong internal coherence.</t>
  </si>
  <si>
    <t>The model correctly decomposes the input into two individual and independent intentions, 'Mostrar el consumo energético de la lavadora para el día lunes' and 'Comparar el consumo energético de la lavadora registrado el lunes con el registrado el martes', aligning perfectly with the Expected Output (A1). It does not invent any information (A2). Both intentions are correctly classified into their respective scenarios, 'consumo_basico' and 'comparacion_consumos', which matches the Expected Output and demonstrates correct scenario classification (B1). The implicit intention of comparing Monday's consumption with Tuesday's is correctly inferred (A3). Furthermore, the 'notas' field provides a clear, detailed, and internally consistent explanation for each identified request and its classification, demonstrating strong internal coherence (A4). All evaluation criteria are met successfully.</t>
  </si>
  <si>
    <t>The model correctly decomposes the input into three distinct and independent intentions (A1), without inventing any information (A2). It accurately infers implicit details, such as applying the 'yesterday' timeframe to all requests and referring to 'dispositivos analizados' for anomaly detection (A3). All scenario classifications ('consumo_basico', 'comparacion_consumos', 'deteccion_anomalias_tendencias') are correct for their respective requests (B1). Furthermore, the 'notas' field provides clear, consistent, and well-reasoned explanations for each classification, demonstrating strong internal coherence (A4). The output fully aligns with the Expected Output's intent and structure.</t>
  </si>
  <si>
    <t>The model correctly decomposes the input into two independent intentions, '@1' for total consumption and '@2' for consumption trend, without inventing information. It accurately infers the 'año en curso' for both requests, aligning with the input 'en el año'. Both intentions are correctly classified into 'consumo_basico' and 'deteccion_anomalias_tendencias' respectively, matching the expected output. Furthermore, the 'notas' field provides clear and consistent reasoning for both the identified requests and their scenario classifications, demonstrating strong internal coherence.</t>
  </si>
  <si>
    <t>The model correctly decomposes the input into two independent requests, '@1' for daily consumption and '@2' for a monthly trend, without inventing any information (A1, A2). The inferred intentions for both requests, 'Obtener el valor de consumo energético registrado para el dispositivo 'PC' durante el día de ayer' and 'Determinar si existe una tendencia sostenida de aumento en el consumo energético del dispositivo 'PC' durante el transcurso del mes actual', accurately align with the natural language of the input and the Expected Output's interpretation (A3). Furthermore, both requests are correctly classified into their respective scenarios: 'consumo_basico' for '@1' and 'deteccion_anomalias_tendencias' for '@2', matching the Expected Output (B1). The 'notas' field provides clear and coherent explanations for the scenario choices, demonstrating strong internal consistency (A4).</t>
  </si>
  <si>
    <t>The model successfully decomposes the input 'Dime el consumo del aire acondicionado la semana pasada y luego analiza si hubo anomalías' into two distinct and independent requests, '@1' for basic consumption and '@2' for anomaly detection, without inventing any information (A1, A2). The inferred intentions for both requests align perfectly with the 'Expected Output' (A3). Furthermore, the model correctly assigns 'consumo_basico' to the first request and 'deteccion_anomalias_tendencias' to the second, which matches the 'Expected Output' and is well-justified by the 'notas' field (B1). The 'notas' are exceptionally clear and coherent, providing detailed reasoning for both the decomposition and scenario assignments (A4).</t>
  </si>
  <si>
    <t>The model correctly decomposes the input into two distinct intentions and assigns accurate scenario classifications ('consumo_basico' and 'deteccion_anomalias_tendencias') for both, aligning with the Expected Output. The 'notas' field provides clear and consistent reasoning for these classifications. However, the second intention in the Actual Output, 'Analizar si existe una tendencia sostenida de aumento en el consumo energético del televisor durante los últimos 30 días,' introduces a specific timeframe ('últimos 30 días') not explicitly requested in the input 'analiza si su consumo va en aumento,' which the Expected Output handles more generally.</t>
  </si>
  <si>
    <t>The model correctly decomposes the input 'Quiero saber el consumo del ventilador este mes y luego dime si la tendencia es creciente' into two independent requests (A1). It accurately infers the intentions for both requests without inventing information (A2, A3), aligning closely with the Expected Output's interpretation. Specifically, '@1' for 'Obtener el consumo energético del ventilador durante el mes actual' and '@2' for 'Determinar si existe una tendencia creciente en el consumo energético del ventilador durante el mes actual' are precise. Furthermore, both requests are correctly classified into their respective scenarios, 'consumo_basico' and 'deteccion_anomalias_tendencias' (B1), matching the Expected Output. The 'notas' field provides clear and coherent explanations for each scenario assignment (A4), demonstrating a thorough understanding of the classification logic.</t>
  </si>
  <si>
    <t>The model correctly decomposes the input into two independent requests, '@1' for current week's consumption and '@2' for comparing it with the previous week, aligning perfectly with the expected output's interpretation (A1, A3). It does not invent information, but rather infers logical placeholders for date ranges, which enhances clarity without adding ungrounded details (A2). Both requests are accurately classified into 'consumo_basico' and 'comparacion_consumos' scenarios respectively, matching the expected output and providing clear, coherent justifications in the 'notas' field (B1, A4). The detailed 'notas' further strengthens the response by explicitly linking the classification to the input's language and scenario criteria.</t>
  </si>
  <si>
    <t>The model correctly decomposes the input into two distinct intentions, 'Obtener el consumo energético del televisor durante el día de ayer' and 'Evaluar si debería cambiar de carrera profesional', without inventing information not present in the input (A1, A2). It accurately classifies the first intention as 'consumo_basico' and the second, out-of-scope intention as 'entrada_inadmisible' (B1). The 'notas' field provides clear and consistent reasoning for each classification, demonstrating strong internal coherence (A4). The model's interpretation of the second request is arguably more faithful to the input than the Expected Output, as it avoids adding 'basado en el consumo energético' which is not explicitly stated.</t>
  </si>
  <si>
    <t>The model correctly decomposes the input 'Dime el consumo del aire acondicionado esta semana, compáralo con la anterior y analiza la tendencia' into three independent requests, aligning perfectly with the expected intentions (A1, A2, A3). It does not invent any information. Furthermore, each decomposed request is accurately classified into the correct scenario ('consumo_basico', 'comparacion_consumos', 'deteccion_anomalias_tendencias'), matching the Expected Output (B1). The 'notas' field provides clear and coherent explanations for each scenario assignment (A4), demonstrating a strong understanding of the classification rules.</t>
  </si>
  <si>
    <t>El modelo descompone correctamente la solicitud del usuario en tres intenciones distintas, sin inventar información y alineándose con la estructura del Expected Output. Infiere adecuadamente el contexto implícito para las solicitudes de análisis de anomalías y tendencias. Todas las clasificaciones de escenario (`consumo_basico` y `deteccion_anomalias_tendencias`) son correctas y coinciden con el Expected Output. Además, las 'notas' del Actual Output demuestran una excelente coherencia interna, explicando claramente el razonamiento detrás de cada clasificación.</t>
  </si>
  <si>
    <t>El modelo descompone correctamente la solicitud del usuario en tres intenciones distintas, sin inventar información y manteniendo una alta coherencia semántica (A1-A4). La interpretación de '¿Cuánto consumió mi casa en octubre, cómo se compara con noviembre y hubo algún pico raro?' es precisa, reflejando fielmente las intenciones de consulta de consumo, comparación y detección de anomalías. Además, cada solicitud es clasificada correctamente en su escenario correspondiente ('consumo_basico', 'comparacion_consumos', 'deteccion_anomalias_tendencias'), lo cual se alinea perfectamente con el 'Expected Output' (B1). Las 'notas' proporcionadas son claras y justifican adecuadamente cada clasificación.</t>
  </si>
  <si>
    <t>The model successfully decomposed the input into four independent requests, accurately interpreting the user's intentions without inventing any information (A1, A2, A3). Each request's 'solicitud' field closely matched the semantic meaning of the 'Expected Output'. Furthermore, all four requests were correctly classified into their respective scenarios ('consumo_basico', 'comparacion_consumos', 'deteccion_anomalias_tendencias') as per the 'Expected Output' (B1). The 'notas' field provided clear, coherent, and accurate reasoning for each scenario assignment, demonstrating a strong understanding of the context (A4).</t>
  </si>
  <si>
    <t>The model correctly decomposes the input into three distinct intentions (A1) and does not invent information (A2). Its internal reasoning in the 'notas' field is clear and consistent with its own classifications (A4). However, for the intention derived from 'si ha aumentado este año', the Actual Output classifies it as 'comparacion_consumos', while the Expected Output classifies the equivalent intention ('Analizar la tendencia anual del consumo energético total del hogar') as 'deteccion_anomalias_tendencias'. This constitutes one incorrect scenario classification (B1) relative to the Expected Output, placing the score in the 5-7 range.</t>
  </si>
  <si>
    <t>The model correctly decomposes the input 'Quiero el consumo del ventilador ayer, del PC hoy y una comparación entre ambos' into three independent requests, aligning perfectly with the expected output's interpretation (A1, A2, A3). It accurately assigns the 'consumo_basico' scenario to the individual consumption requests for 'ventilador' and 'PC', and 'comparacion_consumos' to the comparison request, matching the expected output (B1). The 'notas' field provides clear and coherent reasoning for each scenario classification (A4), demonstrating a thorough understanding of the request.</t>
  </si>
  <si>
    <t>El modelo descompone correctamente el input en tres intenciones distintas, como se observa en las solicitudes '@1', '@2', y '@3', sin inventar información no proporcionada. Las intenciones implícitas, como el rango temporal para la detección de tendencias ('últimos 7-15 días'), son inferidas adecuadamente. La clasificación de cada solicitud en su escenario correspondiente ('consumo_basico', 'comparacion_consumos', 'deteccion_anomalias_tendencias') es precisa y consistente con el input. Además, el campo 'notas' proporciona un razonamiento claro y coherente para cada clasificación, demostrando una excelente coherencia interna.</t>
  </si>
  <si>
    <t>The model correctly decomposes the input '¿Cuánto consumieron la nevera y el televisor ayer y cuál fue mayor?' into three independent requests, aligning perfectly with the expected output's structure and intent (A1, A2). The inferred intentions for each request, such as 'Obtener el valor de consumo energético de la nevera durante el día de ayer' and 'Comparar el consumo energético entre la nevera y el televisor durante el día de ayer para determinar cuál dispositivo tuvo mayor consumo', accurately interpret the natural language and are consistent with the expected output (A3). Furthermore, all assigned scenarios ('consumo_basico' for individual consumption queries and 'comparacion_consumos' for the comparison) are correct and align with the expected output (B1). The 'notas' field in the actual output is exceptionally clear and coherent, providing detailed reasoning for both the decomposition and scenario assignments (A4).</t>
  </si>
  <si>
    <t>The model correctly decomposes the input into three independent requests and accurately interprets the user's intentions for all of them (A1-A4). Requests @1 and @2 are correctly classified as 'consumo_basico' and 'comparacion_consumos' respectively, aligning with the Expected Output. However, request @3, 'Evaluar si el ahorro derivado de los consumos detectados permite financiar un viaje', is incorrectly classified as 'prediccion_estimacion'. The Expected Output correctly identifies this as 'entrada_inadmisible' because it falls outside the system's domain, a point even acknowledged in the Actual Output's 'notas' ('Aunque el escenario financiero excede el dominio energético'). This single misclassification of a scenario (B1) places the score in the 5-7 range.</t>
  </si>
  <si>
    <t>The model correctly decomposes the input into three independent intentions (A1) and does not invent information (A2). All scenario classifications (`consumo_basico`, `comparacion_consumos`, `deteccion_anomalias_tendencias`) are correct and align with the Expected Output (B1). The internal coherence of the 'notas' field is strong, providing clear and consistent reasoning for each classification (A4). The only minor shortcoming is in inferring implicit intentions (A3); the Actual Output's `@3` for 'picos' is less specific about applying to both devices (lavadora and horno) compared to the Expected Output, which makes this reasonable inference given the prior comparison.</t>
  </si>
  <si>
    <t xml:space="preserve"> {'@1': {'solicitud': 'Dime el consumo de mi lavadora el lunes pasado.', 'escenario': 'consumo_basico'}} | notas: La solicitud se categoriza como 'consumo_basico' porque el usuario solicita valores de consumo energético históricos para un dispositivo específico (la lavadora) dentro de un intervalo temporal explícito (el lunes pasado).</t>
  </si>
  <si>
    <t xml:space="preserve"> {'@1': {'solicitud': '¿Cuánto consumieron el televisor y el computador el sábado pasado?', 'escenario': 'consumo_basico'}} | notas: La solicitud se corresponde con el escenario de consumo básico porque la intención principal es consultar valores de consumo energético históricos para dispositivos específicos (el televisor y el computador) dentro de un intervalo temporal explícito o claramente inferible.</t>
  </si>
  <si>
    <t xml:space="preserve"> {'1': {'solicitud': '¿Cuánto consumió el aire acondicionado el fin de semana pasado?', 'escenario': 'consumo_basico', 'notas': 'La solicitud se refiere al consumo histórico del aire acondicionado, lo que corresponde con la intención de consultar valores de consumo energético ya registrados. El escenario "consumo_basico" es adecuado porque el usuario busca acceder a datos puntuales sin realizar comparaciones analíticas.'}} | notas: La solicitud se refiere al consumo histórico del aire acondicionado, lo que corresponde con la intención de consultar valores de consumo energético ya registrados. El escenario "consumo_basico" es adecuado porque el usuario busca acceder a datos puntuales sin realizar comparaciones analíticas.</t>
  </si>
  <si>
    <t xml:space="preserve"> {'@1': {'solicitud': 'Quiero saber el consumo de mi nevera, mi lavadora y mi secadora el domingo.', 'escenario': 'consumo_basico'}, '@2': {'solicitud': '', 'escenario': ''}} | notas: El primer escenario corresponde a la solicitud del consumo histórico de energía para dispositivos específicos en un momento temporal determinado, lo que coincide con el escenario de consumo básico.</t>
  </si>
  <si>
    <t xml:space="preserve"> {'@1': {'solicitud': '¿Cuánto consumió mi televisor ayer en la noche?', 'escenario': 'consumo_basico', 'descripcion': 'Solicitudes cuya intención principal es consultar valores de consumo energético ya registrados para uno o varios dispositivos, zonas del hogar o el hogar completo, dentro de un intervalo temporal explícito o claramente inferible. La intención es acceder a datos puntuales o históricos sin realizar comparaciones analíticas, análisis de patrones, inferencias ni estimaciones.', 'notas': 'La solicitud menciona una consulta explícita con respecto al consumo energético de un dispositivo específico (televisor) en un período temporal específico (ayer en la noche), lo que coincide con el escenario de consumo básico.'}} | notas: Se identificó el escenario como "consumo_basico" debido a que la solicitud se centra en acceder a datos históricos de consumo energético para un dispositivo específico (televisor) dentro de un intervalo temporal explícito (ayer en la noche).</t>
  </si>
  <si>
    <t xml:space="preserve"> {'@1': {'solicitud': 'Consumo del ventilador esta semana', 'escenario': 'consumo_basico'}, '@2': {'solicitud': 'Consumo de la lavadora la semana pasada', 'escenario': 'consumo_basico'}} | notas: Se identificaron dos solicitudes independientes: la primera corresponde a consultar el consumo del ventilador para esta semana, lo cual se clasifica como un escenario de 'consumo básico' porque el usuario busca acceso a datos históricos sin realizar análisis comparativos o inferencias. La segunda solicitud se refiere al consumo de la lavadora durante la semana pasada, también categorizada como 'consumo básico' por su naturaleza de consulta puntual sin necesidad de análisis complejos.</t>
  </si>
  <si>
    <t xml:space="preserve"> {'@1': {'solicitud': 'El usuario solicitó conocer el consumo total de la casa durante marzo de 2024.', 'escenario': 'consumo_basico'}} | notas: La solicitud corresponde a buscar valores históricos sin realizar comparaciones o inferencias, por lo que se clasifica bajo el escenario de 'consumo_basico'.</t>
  </si>
  <si>
    <t xml:space="preserve"> {'@1': {'solicitud': 'Quiero saber cuánta energía gastó mi computador hoy', 'escenario': 'consumo_basico', 'notas': 'La intención principal es consultar valores de consumo energético históricos, lo que se ajusta a el escenario de consumo basico'}} | notas: La solicitud se ajusta al escenario de consumo basico porque solicita información sobre consumo energético en un momento específico (hoy) y no requiere análisis ni comparación.</t>
  </si>
  <si>
    <t xml:space="preserve"> {'@1': {'solicitud': '¿Cuánta energía gastaron mi PC, mi monitor y mi router ayer?', 'escenario': 'consumo_basico', 'nota': 'Se requiere consultar valores de consumo históricos para dispositivos específicos dentro de un intervalo temporal explícito.'}} | notas: La solicitud se categoriza como una solicitud de consumo básico porque la intención principal es acceder a datos puntuales o históricos sin realizar comparaciones analíticas, análisis de patrones, inferencias ni estimaciones.</t>
  </si>
  <si>
    <t xml:space="preserve"> {'@1': {'solicitud': 'Consulta del consumo energético histórico de la nevera y la lavadora para ayer.', 'escenario': 'consumo_basico'}, '@2': {'solicitud': 'Consulta del consumo energético histórico de la nevera y la lavadora para ayer.', 'escenario': 'consumo_basico'}} | notas: El usuario solicita valores de consumo energético históricos específicos para dispositivos (nevera y lavadora) durante un período temporal explícito (ayer), por lo que corresponde a escenarios de entrada admitidos por el sistema relacionados con consultas básicas sobre consumo.</t>
  </si>
  <si>
    <t xml:space="preserve"> {'@1': {'solicitud': 'Dime el consumo de mi televisor ayer', 'escenario': 'consumo_basico'}, '@2': {'solicitud': 'Dime si eso fue moralmente correcto.', 'escenario': 'entrada_inadmisible'}} | notas: La solicitud '@1' se categorizó como 'consumo_basico' porque el usuario solicitaba valores de consumo energético históricos para un dispositivo específico (el televisor) en un intervalo temporal explícito (ayer). La respuesta esperada es un valor cuantitativo único o una serie temporal. La solicitud '@2' se categorizó como 'entrada_inadmisible' porque la intención expresada no está relacionada con el consumo energético del hogar, y por lo tanto no corresponde a ninguno de los escenarios de entrada admitidos por el sistema.</t>
  </si>
  <si>
    <t xml:space="preserve"> {'@1': {'solicitud': '¿Cuánto consumió mi nevera durante el mes de enero?', 'escenario': 'consumo_basico', 'notas': 'La solicitud solicita un valor cuantitativo específico del consumo energético histórico de la nevera, dentro de un intervalo temporal explícito (el mes de enero). Se requiere acceso a datos puntuales para responder.'}} | notas: Se seleccionó el escenario de 'consumo_basico' porque la solicitud solicita una consulta sobre valores de consumo energético históricos específicos, dentro de un intervalo temporal explícito (el mes de enero).</t>
  </si>
  <si>
    <t xml:space="preserve"> {'@1': {'solicitud': 'Consumo del ventilador el día de ayer', 'escenario': 'consumo_basico'}, '@2': {'solicitud': '', 'escenario': 'entrada_inadmisible'}} | notas: La solicitud se categoriza en el escenario 'consumo_basico' porque solicita valores de consumo energético históricos para un dispositivo específico (el ventilador) y menciona un período de tiempo explícito (el día de ayer). La segunda solicitud no está relacionada con consumo energético y por lo tanto se categoriza en el escenario 'entrada_inadmisible'.</t>
  </si>
  <si>
    <t xml:space="preserve"> {'1': {'solicitud': 'El consumo energético de mi horno el 15 de noviembre', 'escenario': 'consumo_basico'}, '2': {'solicitud': 'Consumo energético del horno en noviembre', 'escenario': 'consumo_basico'}} | notas: Se han categorizado las solicitudes como corresponde al escenario de consumo básico ya que se solicitan valores de consumo energético históricos con fechas explícitas.</t>
  </si>
  <si>
    <t xml:space="preserve"> {'@1': {'solicitud': 'Quiero saber el consumo del aire acondicionado en la mañana y en la noche de ayer.', 'escenario': 'consumo_basico', 'notas': "La solicitud está relacionada con consultar valores de consumo energético históricos, específicamente para un dispositivo (aire acondicionado) y dos momentos del día (mañana y noche), lo que coincide con las condiciones del escenario 'consumo_basico'"}, '@2': {'solicitud': 'Solicito el consumo energético en ayer.', 'escenario': 'consumo_basico', 'notas': 'La solicitud está relacionada con consultar valores de consumo energético históricos, sin especificar un dispositivo ni momento del día específicos'}} | notas: Se identificaron dos solicitudes. La primera es una solicitud de consumo basico ya que el usuario busca valores de consumo en momentos del dia específicos. La segunda, aunque inicialmente no se menciona un dispositivo o momento del dia, se interpreta como relacionada con el escenario de consumo basico ya que la consulta se centra en obtener datos históricos.</t>
  </si>
  <si>
    <t xml:space="preserve"> {'@1': {'solicitud': 'Consumo del horno en enero y febrero', 'escenario': 'consumo_basico'}, '@2': {'solicitud': 'Historial de consumo del horno para dos meses distintos', 'escenario': 'comparacion_consumos'}} | notas: Se eligieron los escenarios 'consumo_basico' y 'comparacion_consumos' porque la solicitud requiere acceso a datos históricos de consumo energético puntuales y comparación de consumos entre dos periodos distintos.</t>
  </si>
  <si>
    <t xml:space="preserve"> {'@1': {'solicitud': 'Se solicita el consumo energético de la casa para el lunes y martes.', 'escenario': 'consumo_basico', 'notas': 'La solicitud busca consultar valores históricos, lo que sugiere una intención de acceso a datos puntuales sin análisis comparativos.'}, '@2': {'solicitud': 'Se solicita comparar el consumo del lunes con el del martes.', 'escenario': 'comparacion_consumos', 'notas': 'La solicitud utiliza un término comparativo explícito, sugiriendo la necesidad de analizar diferencias relativas o absolutas.'}} | notas: Las solicitudes se han categorizado según su intención principal. La primera corresponde al escenario 'consumo_basico', ya que busca consultar valores históricos sin realizar comparaciones. La segunda pertenece al escenario 'comparacion_consumos', debido a la necesidad de analizar diferencias relativas o absolutas en el consumo entre dos días.</t>
  </si>
  <si>
    <t xml:space="preserve"> {'@1': {'solicitud': 'Se requiere la cantidad de kWh que consumió mi casa durante la semana pasada', 'escenario': 'consumo_basico'}, '@2': {'solicitud': '', 'escenario': ''}} | notas: El sistema clasificó la solicitud como un escenario básico de consumo porque el usuario solicitó valores históricos de consumo energético, específicamente para una semana pasada. Este escenario se ajusta a las características del 'consumo_basico'.</t>
  </si>
  <si>
    <t xml:space="preserve"> {'@1': {'solicitud': 'Consumo energético de la casa en junio, julio y agosto', 'escenario': 'consumo_basico'}, '@2': {'solicitud': 'Consumo histórico de mi hogar para los meses de verano', 'escenario': 'consumo_basico'}} | notas: Se asignó el escenario de consumo básico a estas solicitudes porque cada una se refiere al acceso o consulta de datos de consumo energético históricos, especificando periodos temporales explícitos y no solicitando comparaciones ni análisis más allá de la simple consulta de valores.</t>
  </si>
  <si>
    <t xml:space="preserve"> {'@1': {'solicitud': '¿Qué tan feliz estuvo mi casa ayer con el consumo de energía?', 'escenario': 'consumo_basico', 'notas': 'La intención principal es acceder a datos puntuales o históricos sin realizar comparaciones analíticas, análisis de patrones, inferencias ni estimaciones.'}} | notas: La solicitud puede ser categorizada como una consulta de consumo básico porque el usuario pregunta sobre la felicidad de su casa en relación con el consumo energético del día anterior, lo cual se ajusta a la descripción del escenario de consumo_basico.</t>
  </si>
  <si>
    <t xml:space="preserve"> {'@1': {'solicitud': '¿Cuánto consumió la lavadora el sábado?', 'escenario': 'consumo_basico', 'notas': 'La intención es consultar un valor de consumo energético histórico explícito, por lo que se ajusta al escenario "consumo básico".'}, '@2': {'solicitud': 'fue más que el domingo', 'escenario': 'comparacion_consumos', 'notas': 'La intención es comparar dos consumos energéticos, por lo que se ajusta a la categoría de "comparación de consumos"'}} | notas: Las solicitudes se han categorizado como sigue:
1. La intención del usuario es consultar el consumo histórico de la lavadora para un día específico (el sábado), por lo que se ajusta al escenario "consumo básico".
2. La intención del usuario es comparar dos consumos energéticos (el sábado y el domingo) para ver si uno fue mayor que otro, por lo que se ajusta a la categoría de "comparación de consumos".</t>
  </si>
  <si>
    <t xml:space="preserve"> {'1': {'solicitud': '¿Cuánto consumió mi PC ayer?', 'escenario': 'consumo_basico'}, '2': {'solicitud': 'Ha venido aumentando su consumo este mes', 'escenario': 'deteccion_anomalias_tendencias'}} | notas: La solicitud 1 es un ejemplo de consumo básico porque solicita valores históricos de consumo energético para un dispositivo específico (su PC) y dentro de un intervalo temporal explícito (ayer), lo cual se ajusta a la descripción del escenario 'consumo_basico'. La solicitud 2 se refiere a una detección de anomalías o tendencias en el consumo energético, ya que menciona un aumento sostenido en su consumo este mes, lo cual coincide con las condiciones para el escenario 'deteccion_anomalias_tendencias'.</t>
  </si>
  <si>
    <t xml:space="preserve"> {'@1': {'solicitud': 'Se requiere el consumo total de la casa para este mes.', 'escenario': 'consumo_basico', 'notas': 'La solicitud se clasificó como consumobasico porque se solicitó un valor cuantitativo específico (el consumo total) y no se mencionan comparaciones o análisis en el contexto.'}, '@2': {'solicitud': 'Se requiere comparar si el consumo de la casa este mes es mayor que el del mes pasado.', 'escenario': 'comparacion_consumos', 'notas': 'La solicitud se clasificó como comparacion_consumos porque se solicita una comparación entre dos periodos de tiempo, lo cual implica análisis de diferencias relativas o determinar cuál consume más o menos energía.'}} | notas: Las solicitudes han sido categorizadas según su intención principal para adaptarse a los escenarios disponibles admitidos por el sistema. La primera solicitud se clasificó como "consumo básico" porque solicitaba un valor de consumo específico y no implicaba análisis o comparaciones, mientras que la segunda fue catalogada como "comparación de consumos" debido a su orientación hacia identificar diferencias en el consumo.</t>
  </si>
  <si>
    <t xml:space="preserve"> {'@1': {'solicitud': 'Se requiere consultar el consumo energético histórico de la casa en noviembre y compararlo con el de octubre para identificar cualquier diferencia o tendencia.', 'escenario': 'comparacion_consumos'}, '@2': {'solicitud': 'La solicitud es ambigua y no se puede mapear a ningún escenario específico admitido por el sistema.', 'escenario': 'entrada_inadmisible'}} | notas: Para la primera solicitud, dado que el usuario solicita consultar el consumo de noviembre y compararlo con octubre, hemos identificado esta como una solicitud del tipo 'comparacion_consumos', ya que busca analizar diferencias relativas entre dos periodos distintos. Para la segunda solicitud, dado que no se puede mapear la intención a ningún escenario específico admitido por el sistema (no está relacionada con consumo energético ni corresponde a ninguno de los escenarios disponibles), hemos categorizado como 'entrada_inadmisible'.</t>
  </si>
  <si>
    <t xml:space="preserve"> {'@1': {'solicitud': 'El consumo del televisor ayer fue de 10 unidades energéticas.', 'escenario': 'consumo_basico', 'nota': 'Dado que la solicitud busca información histórica específica sobre el consumo del televisor, se ajusta a la descripción del escenario de Consumo Básico'}, '@2': {'solicitud': 'El análisis de los datos muestra un aumento en el consumo del televisor en los últimos días.', 'escenario': 'deteccion_anomalias_tendencias', 'nota': 'La solicitud de análisis y comparación entre diferentes periodos de tiempo o comportamientos es característica de la detección de anomalías y tendencias'}} | notas: Nota 1: Se identificó el escenario como Consumo Básico porque la intención principal era acceder a datos puntuales históricos sin realizar análisis comparativos.
Nota 2: La segunda solicitud fue categorizada en Detección de Anomalías y Tendencias debido al análisis entre diferentes periodos y comportamientos.</t>
  </si>
  <si>
    <t xml:space="preserve"> {'@1': {'solicitud': '¿Cuál fue el consumo energético del aire acondicionado la semana pasada?', 'escenario': 'consumo_basico', 'notas_sistema': 'La solicitud se centra en acceder al consumo histórico de un dispositivo específico, lo que corresponde a los criterios para el escenario de "consumo básico".'}, '@2': {'solicitud': '¿Hubo alguna anomalía en el consumo energético del aire acondicionado la semana pasada?', 'escenario': 'deteccion_anomalias_tendencias', 'notas_sistema': 'La solicitud sugiere buscar comportamientos anómalos, lo que coincide con los criterios para el escenario de "detección de anomalías y tendencias".'}} | notas: Las solicitudes son: 1. Solicitar consumo histórico del aire acondicionado (escenario de 'consumo básico'), y 2. Identificar potenciales anomalías en el consumo energético del mismo dispositivo en la semana pasada (escenario de 'detección de anomalías y tendencias').</t>
  </si>
  <si>
    <t xml:space="preserve"> {'@1': {'solicitud': 'Dime el consumo del aire acondicionado ayer', 'escenario': 'consumo_basico'}, '@2': {'solicitud': '¿Eso significa que soy irresponsable?', 'escenario': 'entrada_inadmisible'}} | notas: La primera solicitud es clasificada como 'consumo_basico' porque el usuario solicita información específica y detallada sobre el consumo del aire acondicionado ayer, lo cual se alinea con la intención de acceder a datos puntuales o históricos sin realizar comparaciones analíticas. La segunda solicitud es clasificada como 'entrada_inadmisible' porque no está relacionada directamente con el consumo energético del hogar y plantea una evaluación subjetiva sobre responsabilidad, que no se ajusta a los escenarios de entrada admitidos por el sistema.</t>
  </si>
  <si>
    <t xml:space="preserve"> {'@1': {'solicitud': 'Dime el consumo del aire acondicionado esta semana.', 'escenario': 'comparacion_consumos', 'notas': 'La intención principal es comparar consumos energéticos entre dispositivos o periodos de tiempo distintos, y la respuesta esperada es un valor cuantitativo que compara el consumo actual con el pasado.'}, '@2': {'solicitud': 'Compáralo con la semana pasada.', 'escenario': 'comparacion_consumos', 'notas': 'La consulta utiliza términos comparativos explícitos y se requiere analizar diferencias absolutas o relativas entre los consumos de las semanas mencionadas.'}} | notas: Las solicitudes están relacionadas con el consumo energético del aire acondicionado, específicamente se trata de obtener información comparativa entre la semana actual y la pasada. Este tipo de consultas es claramente identificable como un escenario de 'comparacion_consumos', donde el sistema puede analizar diferencias relativas o absolutas para proporcionar una respuesta útil.</t>
  </si>
  <si>
    <t xml:space="preserve"> {'@1': {'solicitud': 'Quiero el consumo del horno este mes y saber si hay alguna anomalía.', 'escenario': 'deteccion_anomalias_tendencias'}, '@2': {'solicitud': 'Consumo energético histórico de dispositivos específicos', 'escenario': 'consumo_basico'}} | notas: La solicitud se ha categorizado en dos escenarios. Primero, se le ha asignado al escenario 'deteccion_anomalias_tendencias' debido a que la expresión 'anomalía' se encuentra entre las condiciones para este escenario. Segundo, se ha identificado una posible solicitud de consumo energético histórico que no involucra comparaciones o estimaciones futuras y que puede ser relacionada con el dispositivo mencionado ('horno'), lo cual corresponde al escenario 'consumo_basico'.</t>
  </si>
  <si>
    <t xml:space="preserve"> {'1': {'solicitud': 'Obtén el consumo del televisor ayer y compáralo con el de hoy.', 'escenario': 'comparacion_consumos'}, '2': {'solicitud': 'Obtén el consumo del televisor en el día anterior a hoy.', 'escenario': 'consumo_basico'}} | notas: La solicitud se categoriza como comparación de consumos porque contiene la intención de comparar dos periodos de tiempo distintos, así como utilizar términos comparativos explícitos. Además, la respuesta esperada es analizar diferencias relativas o determinar cuál consume más o menos energía.</t>
  </si>
  <si>
    <t xml:space="preserve"> {'@1': {'solicitud': '¿Cuánto consumió mi nevera ayer?', 'escenario': 'consumo_basico'}, '@2': {'solicitud': 'Comparar el consumo de la nevera y el horno', 'escenario': 'comparacion_consumos'}} | notas: La solicitud '@1' se categoriza en el escenario 'consumo_basico' porque pide información sobre un valor de consumo histórico específico para un dispositivo. La solicitud '@2' se categoriza en el escenario 'comparacion_consumos' porque compara consumos entre dispositivos.</t>
  </si>
  <si>
    <t xml:space="preserve"> {'@1': {'solicitud': '¿Cuánto ha consumido el PC durante esta semana?', 'escenario': 'consumo_basico'}, '@2': {'solicitud': 'Comparar el consumo del PC de esta semana con la semana pasada', 'escenario': 'comparacion_consumos'}} | notas: 1. Se identificó como "consumo básico" porque se pide un valor histórico puntual y explícito para una unidad específica (el PC) dentro de un intervalo temporal específico (la semana en curso), sin necesidad de análisis comparativo.
2. Se asigndió al escenario "comparación de consumos" debido a la solicitud de comparar el consumo actual con otro punto de referencia (la semana pasada), lo que implica análisis y evaluación de diferencias entre dos conjuntos de datos.</t>
  </si>
  <si>
    <t xml:space="preserve"> {'@1': {'solicitud': 'Quiero saber el consumo del ventilador y si hubo algún pico extraño ayer.', 'escenario': 'deteccion_anomalias_tendencias', 'descripcion': 'Solicitudes orientadas a identificar comportamientos anómalos, picos de consumo o tendencias sostenidas en el consumo energético, a partir del análisis de datos históricos y patrones temporales.'}, '@2': {'solicitud': 'Quiero saber el consumo del ventilador.', 'escenario': 'consumo_basico', 'descripcion': 'Solicitudes cuya intención principal es consultar valores de consumo energético ya registrados para uno o varios dispositivos, zonas del hogar o el hogar completo, dentro de un intervalo temporal explícito o claramente inferible.'}, '@3': {'solicitud': 'Hubo algún pico extraño ayer.', 'escenario': 'deteccion_anomalias_tendencias', 'descripcion': 'Solicitudes orientadas a identificar comportamientos anómalos, picos de consumo o tendencias sostenidas en el consumo energético, a partir del análisis de datos históricos y patrones temporales.'}} | notas: - Se ha considerado la solicitud inicial como correspondiente al escenario de detección de anomalías y tendencias debido a la mención específica de "pico extraño".
- El contexto de la pregunta sugiere una necesidad de comparación o análisis adicional más allá del acceso directo a valores históricos, lo que apunta hacia el escenario de detección.
- Sin embargo, se ha considerado también el escenario del consumo básico para acceder al valor actual del ventilador.
- La segunda parte de la solicitud ("Hubo algún pico extraño ayer") ha sido categorizada como correspondiente al escenario de detección de anomalías y tendencias.</t>
  </si>
  <si>
    <t xml:space="preserve"> {'@1': {'solicitud': 'Quiero saber el consumo del ventilador este mes y luego dime si la tendencia es creciente.', 'escenario': 'consumo_basico'}, '@2': {'solicitud': 'Quiero comparar el consumo de mi hogar con el mismo período de tiempo el año pasado', 'escenario': 'comparacion_consumos'}} | notas: El escenario 'consumo_basico' se eligió para la primera solicitud porque el usuario solicita información específica sobre un dispositivo (el ventilador) y una fecha claramente definida (este mes), sin mencionar comparaciones ni tendencias. Por otro lado, la segunda solicitud se identificó con el escenario 'comparacion_consumos' porque incluye la intención de comparar el consumo actual con un período pasado.</t>
  </si>
  <si>
    <t xml:space="preserve"> {'@1': {'solicitud': 'Se requiere el consumo energético histórico de la lavadora para el lunes y una comparación con el consumo del martes.', 'escenario': 'comparacion_consumos', 'notas': 'La intención principal es comparar consumos, por lo que se identificó como escenario de Comparación de Consumos.'}, '@2': {'solicitud': 'Se requiere un valor cuantitativo único para el consumo energético de la lavadora para el lunes.', 'escenario': 'consumo_basico', 'notas': 'La intención principal es acceder a datos puntuales sin realizar comparaciones, por lo que se identificó como escenario del Consumo Básico.'}, '@3': {'solicitud': 'Se requiere un valor cuantitativo único para el consumo energético de la lavadora para el martes.', 'escenario': 'consumo_basico', 'notas': 'La intención principal es acceder a datos puntuales sin realizar comparaciones, por lo que se identificó como escenario del Consumo Básico.'}, '@4': {'solicitud': 'Se requiere un valor cuantitativo único para el consumo energético de la lavadora para el martes.', 'escenario': 'consumo_basico', 'notas': 'La intención principal es acceder a datos puntuales sin realizar comparaciones, por lo que se identificó como escenario del Consumo Básico.'}} | notas: Se crearon cuatro solicitudes para abarcar las diferentes partes de la pregunta. Dos de ellas corresponden al consumo básico para obtener los valores históricos, y las otras dos corresponden a la comparación de consumos.</t>
  </si>
  <si>
    <t xml:space="preserve"> {'@1': {'solicitud': 'El usuario solicita el consumo total de la casa y si este ha ido aumentando en el año.', 'escenario': 'consumo_basico'}, '@2': {'solicitud': 'Se requiere comparar dos o más consumos', 'escenario': 'comparacion_consumos'}} | notas: La solicitud principal del usuario se puede categorizar como 'consumo_basico' porque está solicitando el consumo total de la casa, lo que se ajusta a la descripción del escenario. Sin embargo, al mencionar si ha ido aumentando en el año, esta solicitud tiene elementos comparativos y de análisis temporal que sugieren una intención más profunda de entender tendencias en el consumo energético, lo que podría estar relacionado con el escenario 'comparacion_consumos'.</t>
  </si>
  <si>
    <t xml:space="preserve"> {'@1': {'solicitud': 'Dime el consumo del horno ayer', 'escenario': 'consumo_basico'}, '@2': {'solicitud': 'Luego dime si fue anormal', 'escenario': 'deteccion_anomalias_tendencias'}} | notas: Se eligieron dos escenarios: Primero, se asumió que la solicitud de consumo del horno ayer pertenece al escenario de consumo básico porque la respuesta esperada es información histórica específica y no implica comparaciones o análisis. Luego, dado que el usuario también pidió si fue anormal, esto sugiere un análisis posterior de los datos proporcionados por lo que se asumió pertenecería al escenario de detección de anomalías y tendencias.</t>
  </si>
  <si>
    <t xml:space="preserve"> {'@1': {'solicitud': 'Dime el consumo de mi nevera ayer.', 'escenario': 'consumo_basico'}, '@2': {'solicitud': 'Luego compáralo con el consumo del sábado pasado.', 'escenario': 'comparacion_consumos'}} | notas: La solicitud inicial es un ejemplo clásico de solicitud que busca información histórica y puntual, por lo que se ha categorizado como `consumo_basico`. La segunda parte de la solicitud requiere comparación y análisis entre consumos distintos, lo que lo coloca dentro del escenario de entrada `comparacion_consumos`.</t>
  </si>
  <si>
    <t xml:space="preserve"> {'@1': {'solicitud': 'Se consultó los consumos de energía del hogar para la nevera y compárlo con el consumo de la lavadora', 'escenario': 'comparacion_consumos'}, '@2': {'solicitud': 'Detección de picos raros en el consumo de energía del hogar en un período temporal definido como ayer', 'escenario': 'deteccion_anomalias_tendencias'}} | notas: Se identificaron dos escenarios: 1) comparación de consumos entre dispositivos específicos, y 2) detección de anormalidades en el consumo energético a partir del análisis de datos históricos.</t>
  </si>
  <si>
    <t xml:space="preserve"> {'@1': {'solicitud': '¿Cuánto consumió mi casa en octubre?', 'escenario': 'consumo_basico', 'notas': 'La intención principal es consultar valores de consumo energético históricos para un periodo explícito'}, '@2': {'solicitud': '¿Cómo se compara el consumo de noviembre con octubre?', 'escenario': 'comparacion_consumos', 'notas': 'Se requiere comparar dos periodos de tiempo distintos y analizar diferencias relativas'}, '@3': {'solicitud': '¿Hubo algún pico raro en el consumo?', 'escenario': 'deteccion_anomalias_tendencias', 'notas': 'Se busca identificar comportamientos anómalos o picos de consumo en el historial'}} | notas: 1. Se ha seleccionado el escenario de consumo básico porque la intención principal es consultar valores de consumo energético históricos para un periodo explícito (octubre). 
2. Se ha elegido el escenario de comparación de consumos porque se requiere comparar dos periodos de tiempo distintos y analizar diferencias relativas. La consulta incluye términos comparativos explícitos (noviembre vs octubre).
3. Se seleccionó el escenario de detección de anomalías y tendencias porque la intención es identificar comportamientos anómalos o picos de consumo en el historial.</t>
  </si>
  <si>
    <t xml:space="preserve"> {'@1': {'solicitud': 'Quiero saber el consumo total de la casa.', 'escenario': 'consumo_basico'}, '@2': {'solicitud': 'Si ha aumentado este año.', 'escenario': 'comparacion_consumos'}, '@3': {'solicitud': 'Y si hubo días anómalos', 'escenario': 'deteccion_anomalias_tendencias'}} | notas: - Para la solicitud @1, se asume que el usuario busca información básica sobre el consumo energético de su hogar, específicamente una lectura del consumo total. Por tanto, se asigna a este escenario el de 'consumo_basico'.
- La solicitud @2 sugiere una comparación de datos, con el objetivo de identificar si ha habido cambios en el consumo energético durante el transcurso del año. Esto coincide con las características de la categoría de 'comparacion_consumos'.
- Para la solicitud @3, se considera que el usuario está buscando detectar comportamientos anómalos o puntos destacados en su patrón de consumo energético a lo largo del tiempo. Por lo tanto, se categoriza como 'deteccion_anomalias_tendencias'.</t>
  </si>
  <si>
    <t xml:space="preserve"> {'@1': {'solicitud': 'Dime el consumo del aire acondicionado esta semana y compáralo con la anterior.', 'escenario': 'comparacion_consumos'}} | notas: Se ha identificado que la solicitud corresponde al escenario de comparación de consumos, ya que se solicita una comparativa entre el consumo de este año y el de la semana pasada.</t>
  </si>
  <si>
    <t xml:space="preserve"> {'@1': {'solicitud': 'El aire acondicionado, ¿cómo se compara con la semana pasada en consumo?', 'escenario': 'comparacion_consumos', 'nota': 'Esta solicitud busca comparar el consumo de energía del aire acondicionado entre dos periodos de tiempo distintos (la semana pasada y ayer).'}, '@2': {'solicitud': '¿Cuánto consumió el aire acondicionado ayer?', 'escenario': 'consumo_basico', 'nota': 'Esta solicitud busca acceder a datos puntuales del consumo energético histórico del aire acondicionado para un día específico (ayer).'}, '@3': {'solicitud': 'El aire acondicionado, ¿qué tendencia tiene en su consumo de energía?', 'escenario': 'deteccion_anomalias_tendencias', 'nota': 'Esta solicitud busca identificar comportamientos anómalos o tendencias sostenidas en el consumo energético del aire acondicionado.'}} | notas: Las solicitudes son categorizadas como: 
- @1: Compara consumos para periodos distintos, correspondiendo al escenario de "Comparación de Consumos".
- @2: Accede a datos puntuales del consumo histórico, correspondiendo al escenario de "Consumo Básico".
- @3: Busca tendencias en el consumo, correspondiendo al escenario de "Detección de Anomalías/Tendencias".</t>
  </si>
  <si>
    <t xml:space="preserve"> {'@1': {'solicitud': 'Dime el consumo del televisor ayer.', 'escenario': 'consumo_basico', 'notas': 'Esta solicitud se clasifica en el escenario de consumo básico porque el usuario busca consultar valores de consumo energético históricos específicos para un dispositivo, con una respuesta esperada cuantitativa única.'}, '@2': {'solicitud': 'Debería cambiar de carrera profesional.', 'escenario': 'entrada_inadmisible', 'notas': 'Esta solicitud no se relaciona directamente con el consumo energético del hogar ni corresponde a los escenarios de entrada admitidos por el sistema, por lo que se clasifica en el escenario de entrada inadmisble.'}} | notas: La primera solicitud es un ejemplo de cómo el usuario busca consultar datos históricos de consumo y podría ser atendida mediante un análisis específico del historial de consumo energético. La segunda solicitud, sin embargo, no está relacionada con el tema del consumo energético en el hogar y su respuesta requiere conocimientos más allá del alcance del sistema.</t>
  </si>
  <si>
    <t xml:space="preserve"> {'@1': {'solicitud': '¿Cuánto consumieron la nevera y el televisor ayer?', 'escenario': 'comparacion_consumos', 'notas': 'La solicitud se enfoca en comparar los consumos energéticos de dos dispositivos específicos (la nevera y el televisor) durante un día específico (ayer). La intención es identificar la diferencia relativa entre estos dos consumos, por lo que corresponde al escenario "comparacion_consumos".'}, '@2': {'solicitud': '¿Cuál fue mayor?', 'escenario': 'comparacion_consumos', 'notas': 'La parte de la solicitud se centra en identificar cuál del consumo de los dos dispositivos (la nevera o el televisor) fue mayor, lo que sigue siendo dentro del escenario de comparación de consumos.'}} | notas: Se ha categorizado la solicitud inicial como "comparacion_consumos" debido a su intención principal de comparar consumos energéticos. Las dos solicitudes separadas se enfocan en aspectos diferentes pero relacionados de esta intención.</t>
  </si>
  <si>
    <t xml:space="preserve"> {'@1': {'solicitud': 'Consumo del ventilador ayer', 'escenario': 'consumo_basico'}, '@2': {'solicitud': 'Consumo del PC hoy', 'escenario': 'consumo_basico'}, '@3': {'solicitud': 'Comparación entre consumo de ventilador ayer y PC hoy', 'escenario': 'comparacion_consumos'}} | notas: - Para la solicitud del consumo del ventilador ayer, se eligió el escenario 'consumo_basico' porque se solicita un valor histórico explícito y no se requiere análisis comparativo.
- Para la solicitud del consumo del PC hoy, se eligió el escenario 'consumo_basico' por motivos similares a los de la primera solicitud; se solicita un valor específico en un momento determinado y no hay indicios de comparación o análisis adicional requerido.
- La tercera solicitud fue categorizada como 'comparacion_consumos' porque explícitamente menciona la necesidad de comparar consumo entre dos momentos diferentes, lo que ajusta con el escenario definido.</t>
  </si>
  <si>
    <t xml:space="preserve"> {'@1': {'solicitud': 'Dime el consumo de mi lavadora el fin de semana', 'escenario': 'comparacion_consumos'}, '@2': {'solicitud': 'compárala con el horno', 'escenario': 'comparacion_consumos'}, '@3': {'solicitud': 'revisa si hubo picos', 'escenario': 'deteccion_anomalias_tendencias'}} | notas: Se seleccionó el escenario de comparación de consumos para la solicitud del consumo de la lavadora, ya que el usuario pidió una comparativa con otro dispositivo (el horno). Para la solicitud de revisar si hubo picos, se eligió el escenario de detección de anomalías y tendencias, ya que el usuario mencionó explícitamente "picos".</t>
  </si>
  <si>
    <t xml:space="preserve"> {'@1': {'solicitud': 'Quiero saber cuánto consumió mi nevera ayer.', 'escenario': 'consumo_basico', 'notas': 'La intención principal es consultar un valor de consumo energético histórico para un dispositivo específico, dentro de un intervalo temporal explícito.'}, '@2': {'solicitud': 'Quiero saber cuánto consumió la lavadora.', 'escenario': 'consumo_basico', 'notas': 'La intención principal es consultar un valor de consumo energético histórico para otro dispositivo específico, dentro de un intervalo temporal explícito.'}, '@3': {'solicitud': 'Comparar el consumo de la nevera y la lavadora.', 'escenario': 'comparacion_consumos', 'notas': 'La intención principal es comparar consumos energéticos entre dos dispositivos, con el fin de identificar diferencias relativas o determinar cuál consume más o menos energía.'}, '@4': {'solicitud': 'Decir si alguna tuvo un consumo extraño.', 'escenario': 'deteccion_anomalias_tendencias', 'notas': 'La intención principal es identificar comportamientos anómalos en el consumo energético, a partir del análisis de datos históricos y patrones temporales.'}} | notas: - La solicitud 1 se categoriza como "consumo básico" porque solicita información específica sobre el consumo histórico de una nevera.
- La solicitud 2 también se categoriza como "consumo básico" por la misma razón que la solicitud 1.
- La solicitud 3 se categoriza como "comparación de consumos" porque compara los consumos energéticos entre dos dispositivos para identificar diferencias relativas o determinar cuál consume más o menos energía.
- La solicitud 4 se categoriza como "detección de anomalías y tendencias" porque busca identificar comportamientos anómalos en el consumo energético, a partir del análisis de datos históricos y patrones temporales.</t>
  </si>
  <si>
    <t xml:space="preserve"> {'@1': {'solicitud': 'Dime el consumo del horno este mes y analiza si hay anomalías', 'escenario': 'deteccion_anomalias_tendencias', 'notas': 'Esta solicitud se alinea con el escenario de detección de anomalías y tendencias en el consumo energético, ya que el usuario solicita información específica sobre un dispositivo (el horno) dentro de un contexto temporal explícito (este mes), y además requiere análisis para detectar cambios o comportamientos anómalos.'}, '@2': {'solicitud': 'Dime si va en aumento', 'escenario': 'deteccion_anomalias_tendencias', 'notas': 'Esta parte de la solicitud también se alinea con el mismo escenario, ya que el usuario busca información sobre tendencias sostenidas (en este caso, aumentos) en su consumo energético.'}} | notas: Las solicitudes dadas por el usuario son categorizadas como relacionadas con detección de anomalías y tendencias en el consumo energético, ya que involucran análisis específicos sobre cambios o comportamientos anómalos en un dispositivo (el horno) dentro de un contexto temporal explícito.</t>
  </si>
  <si>
    <t xml:space="preserve"> {'@1': {'solicitud': 'Dime el consumo de mi nevera ayer', 'escenario': 'consumo_basico'}, '@2': {'solicitud': 'Compara el consumo de la nevera con la lavadora', 'escenario': 'comparacion_consumos'}, '@3': {'solicitud': 'Dime si con eso ya puedo ahorrar para irme de viaje', 'escenario': 'prediccion_estimacion'}} | notas: Para la primera solicitud, se ha seleccionado el escenario de consumo básico porque el usuario solicita información específica sobre el consumo histórico de su nevera. Para la segunda solicitud, se ha elegido comparar consumos debido a que el usuario pide una comparación directa entre dos dispositivos. La tercera solicitud fue asignada al escenario de predicción y estimación porque el usuario pregunta si puede ahorrar dinero para un viaje, lo que implica necesitar hacer alguna proyección o inferencia sobre sus costos futuros.</t>
  </si>
  <si>
    <t>The model correctly decomposes the input 'Dime el consumo de mi lavadora el lunes pasado.' into a single, independent intention without inventing information (A1, A2). The assigned scenario classification 'consumo_basico' is correct according to the expected output (B1). Furthermore, the 'notas' field provides a clear and consistent explanation for this classification, demonstrating strong internal coherence (A4).</t>
  </si>
  <si>
    <t>The model failed to correctly decompose the input into all individual, independent intentions (A1). It treated 'el televisor y el computador' as a single request, whereas the expected output correctly identified two distinct requests for each device. While the scenario classification for the combined request was correct, the fundamental failure in decomposition places the response in the lower score range.</t>
  </si>
  <si>
    <t>The model correctly identified a single intention from the input, accurately classifying it as 'consumo_basico', which aligns perfectly with the Expected Output. The 'notas' field provides clear and consistent reasoning for this classification, demonstrating strong internal coherence and adherence to all evaluation criteria (A1-A4, B1).</t>
  </si>
  <si>
    <t>The model failed to correctly decompose the input 'Quiero saber el consumo de mi nevera, mi lavadora y mi secadora el domingo' into all individual, independent intentions (A1), grouping all three devices into a single request and leaving an empty second request. This also indicates a failure to infer implicit intentions (A3) for each device separately, as shown in the Expected Output, despite correctly classifying the single grouped intention as 'consumo_basico'.</t>
  </si>
  <si>
    <t>The model correctly identified the single intention from the input, '¿Cuánto consumió mi televisor ayer en la noche?', without inventing any information. It accurately classified this intention as 'consumo_basico', which perfectly aligns with the provided description for this scenario, focusing on querying historical consumption for a specific device (televisor) and an explicit time frame (ayer en la noche). The reasoning provided in the 'notas' field is clear, consistent, and directly supports the chosen classification, demonstrating strong internal coherence.</t>
  </si>
  <si>
    <t>The model correctly decomposes the input into two independent intentions, 'Consumo del ventilador esta semana' and 'Consumo de la lavadora la semana pasada', without inventing information. It accurately classifies both requests under the 'consumo_basico' scenario, aligning with the Expected Output. The 'notas' field provides clear and consistent reasoning for these classifications, demonstrating strong internal coherence. While the 'solicitud' phrasing is slightly more concise than the Expected Output's explicit 'Consultar el consumo energético de...', it still correctly captures the implicit intention.</t>
  </si>
  <si>
    <t>The model correctly decomposed the input '¿Cuál fue el consumo total de la casa durante marzo de 2024?' into a single, independent request, aligning with A1 and A2. The inferred intention, 'El usuario solicitó conocer el consumo total de la casa durante marzo de 2024.', accurately matches the 'Expected Output's interpretation for A3. Furthermore, the 'consumo_basico' scenario was correctly assigned, fulfilling B1, and the 'notas' field provided a clear and coherent explanation for A4.</t>
  </si>
  <si>
    <t>The model correctly decomposes the input 'Quiero saber cuánta energía gastó mi computador hoy' into a single request without inventing information (A1, A2). The interpretation of the user's intention in the 'solicitud' field aligns perfectly with the expected output (A3). Furthermore, the model accurately classifies the request under the 'consumo_basico' scenario, matching the expected output (B1). The 'notas' field provides a clear and coherent explanation for this classification (A4).</t>
  </si>
  <si>
    <t>The model failed to correctly decompose the input request '¿Cuánta energía gastaron mi PC, mi monitor y mi router ayer?' into individual, independent requests for each device (PC, monitor, router), as required by evaluation step A1 and demonstrated in the Expected Output. Instead, it treated the entire input as a single request. While the assigned scenario 'consumo_basico' and the 'nota' for this single request were appropriate, the fundamental failure in decomposition makes the semantic quality insufficient according to the rubric.</t>
  </si>
  <si>
    <t>The actual output fails to correctly decompose the input into individual, independent intentions (A1). Both decomposed requests, '@1' and '@2', contain the exact same combined 'solicitud' for 'nevera y lavadora', instead of separating them into distinct requests for each appliance as indicated by the input and expected output. This represents a significant shortcoming in the semantic quality of the decomposition, despite the correct scenario classification ('consumo_basico') and the absence of invented information.</t>
  </si>
  <si>
    <t>The model correctly decomposes the input 'Dime el consumo de mi televisor ayer y dime también si eso fue moralmente correcto' into two distinct intentions. It accurately classifies the first intention as 'consumo_basico' and the second as 'entrada_inadmisible', aligning perfectly with the expected output. The 'notas' field provides clear and consistent reasoning for each classification, demonstrating strong internal coherence. No information was invented, and all explicit intentions were correctly captured.</t>
  </si>
  <si>
    <t>The model correctly decomposes the single input request into one independent request (A1) and does not invent any information (A2). The inferred intention in the 'solicitud' field, although using the exact input phrase instead of rephrasing, accurately aligns with the 'Expected Output's interpretation of querying energy consumption for the fridge in January (A3). The assigned scenario 'consumo_basico' is correct and matches the 'Expected Output' (B1). Furthermore, the 'notas' field provides a clear and coherent explanation for the scenario selection, referencing the specific details of the request (A4).</t>
  </si>
  <si>
    <t>The model fails in the decomposition of the input by generating two requests when only one is present in the 'Input'. Specifically, it incorrectly creates an empty request '@2' and assigns it the 'entrada_inadmisible' scenario, which is an invention of information not deducible from the 'Input'. While the first request '@1' correctly interprets the user's intention and assigns the correct 'consumo_basico' scenario, the overall decomposition and the invention of the second, inadmissible request lead to insufficient semantic quality (A1-A4).</t>
  </si>
  <si>
    <t>The model incorrectly decomposes the input by generating two requests when only one specific request was present. The second request, 'Consumo energético del horno en noviembre,' invents information not deducible from the input, which specifically asked for 'el 15 de noviembre.' This demonstrates a failure in criteria A1 and A2, as the model invents information and does not correctly interpret the input's natural language as a single, precise query, leading to insufficient semantic quality.</t>
  </si>
  <si>
    <t>The model failed to correctly decompose the input 'Quiero saber el consumo del aire acondicionado en la mañana y en la noche de ayer.' Request '@1' in the actual output is a direct copy of the original input, not an individual, independent request as required by A1. Request '@2' ('Solicito el consumo energético en ayer.') invents a general consumption request not explicitly deducible as a separate intention from the input, which specifically mentions 'aire acondicionado' for both morning and night, violating A2. This leads to an incorrect interpretation of the input's natural language compared to the expected output (A3).</t>
  </si>
  <si>
    <t>The model fails to correctly decompose the input 'Muéstrame el consumo del horno en enero y en febrero' into individual, independent requests (A1). The 'Actual Output' combines 'enero y febrero' into a single request ('@1') and then creates a separate request for 'comparacion_consumos' ('@2'). This does not align with the 'Expected Output's correct interpretation (A3) of two distinct, independent requests for consumption in January and February, respectively. While no information is invented (A2), the fundamental flaw in decomposition and interpretation leads to insufficient semantic quality.</t>
  </si>
  <si>
    <t>The model failed to correctly decompose the input into individual, independent requests. It combined the consumption queries for Monday and Tuesday into a single request ('@1') and, more critically, invented a comparison request ('@2') that was not explicitly stated or deducible from the input '¿Cuánto consumió mi casa el lunes y cuánto consumió el martes?'. This demonstrates a significant failure in criteria A1, A2, and A3, as it invents information and misinterprets the user's intention, leading to an incorrect scenario assignment for the invented comparison request (B1).</t>
  </si>
  <si>
    <t>The model correctly interprets the user's intention to query historical energy consumption for the house last week (A3) and accurately assigns the 'consumo_basico' scenario (B1). The 'notas' field is clear and coherent (A4). However, the decomposition is not entirely correct (A1) because the 'Actual Output' includes an unnecessary and empty request ('@2'), which deviates from the 'Expected Output' that correctly identifies only one request. This minor flaw in decomposition prevents a higher score, despite the correct classification of the primary request.</t>
  </si>
  <si>
    <t>The model fails to correctly decompose the input '¿Cuánto consumió mi casa en junio, julio y agosto?' into individual, independent requests, as shown in the Expected Output. Instead of three distinct requests for each month, the Actual Output combines all three months into a single request ('@1') and then adds a generalized, less specific request ('@2' for 'meses de verano') which is not a direct, independent decomposition of the input. This demonstrates a significant shortcoming in criteria A1 and A3. Additionally, the 'notas' field in the Actual Output refers to 'cada una' de las solicitudes, which is inconsistent with '@1' grouping multiple months into a single request, indicating an internal incoherence (A4).</t>
  </si>
  <si>
    <t>The model incorrectly classifies the input '¿Qué tan feliz estuvo mi casa ayer con el consumo de energía?' as 'consumo_basico' (B1 failure). The input is a metaphorical, non-technical query, which the Expected Output correctly identifies as 'entrada_inadmisible'. Furthermore, the reasoning provided in the 'notas' field is semantically incoherent (A4 failure), attempting to justify the 'consumo_basico' classification by claiming that asking about the 'happiness' of a house 'se ajusta a la descripción del escenario de consumo_basico' (which is for accessing 'datos puntuales o históricos'). This demonstrates a fundamental misunderstanding of the input's meaning and the scenario's definition.</t>
  </si>
  <si>
    <t>The model correctly decomposes the input into two independent intentions and does not invent information. Both intentions are accurately classified into 'consumo_basico' and 'comparacion_consumos' scenarios, aligning with the expected output. The 'notas' field provides clear and consistent reasoning for each classification, demonstrating strong internal coherence. The inference of the implicit comparison for the second intention is also handled correctly through its classification and notes, even if the explicit phrasing of the decomposed request is slightly less detailed than the expected output.</t>
  </si>
  <si>
    <t>El modelo descompone correctamente la solicitud del usuario en dos peticiones independientes, '¿Cuánto consumió mi PC ayer?' y 'Ha venido aumentando su consumo este mes', sin inventar información (A1, A2). La interpretación de las intenciones de ambas solicitudes es precisa y se alinea con el 'Expected Output' (A3). Además, clasifica correctamente la primera solicitud como 'consumo_basico' y la segunda como 'deteccion_anomalias_tendencias', lo cual es coherente con las intenciones implícitas (B1). Las 'notas' proporcionadas son claras, coherentes y justifican adecuadamente la asignación de escenarios (A4).</t>
  </si>
  <si>
    <t>El modelo descompone correctamente la solicitud del usuario en dos intenciones distintas, 'cuánto consumió mi casa este mes' y 'si aumentó respecto al mes pasado', sin inventar información (A1, A2). Infiere adecuadamente la intención implícita de comparación en la segunda solicitud (A3). Ambas solicitudes son clasificadas correctamente en los escenarios 'consumo_basico' y 'comparacion_consumos' respectivamente, lo cual coincide con el Expected Output (B1). Además, el razonamiento proporcionado en el campo 'notas' para cada solicitud y en las notas generales es claro y consistente con las clasificaciones realizadas (A4).</t>
  </si>
  <si>
    <t>The model fails significantly in decomposing the input, violating A1 and A2. It incorrectly merges the two distinct intentions of 'consulting November's consumption' and 'comparing it with October' into a single request (@1). Furthermore, it invents a second, non-existent intention (@2) classified as 'entrada_inadmisible', which is not present in the input. This demonstrates a fundamental failure to correctly identify and separate individual intentions and an invention of information, aligning with the 0-4 rubric criteria.</t>
  </si>
  <si>
    <t>The model correctly decomposes the input into two intentions and accurately classifies both into 'consumo_basico' and 'deteccion_anomalias_tendencias' scenarios, aligning with the Expected Output's classifications. However, it invents specific consumption data ('10 unidades energéticas') and analysis results in the 'solicitud' fields for both requests, which is a direct violation of the A2 criterion (not inventing information). The 'solicitud' field should reflect the user's request, not a generated response, as demonstrated by the Expected Output. This fundamental error in generating information instead of identifying the user's intent significantly lowers the score, placing it in the 0-4 range according to the rubric.</t>
  </si>
  <si>
    <t>The model correctly decomposed the input 'Dime el consumo del aire acondicionado la semana pasada y luego analiza si hubo anomalías' into two independent intentions. Both intentions were accurately classified as 'consumo_basico' and 'deteccion_anomalias_tendencias', respectively, aligning perfectly with the Expected Output. The 'notas_sistema' for each intention and the overall 'notas' field provided clear and consistent reasoning, demonstrating strong internal coherence and fulfilling all A1-A4 and B1 criteria.</t>
  </si>
  <si>
    <t>The model correctly decomposes the input into two independent requests, 'Dime el consumo del aire acondicionado ayer' and '¿Eso significa que soy irresponsable?', without inventing information (A1, A2). The interpretation of these requests aligns perfectly with the 'Expected Output' (A3). Furthermore, both requests are accurately classified into their respective scenarios: 'consumo_basico' for the first and 'entrada_inadmisible' for the second, which matches the 'Expected Output' (B1). The 'notas' field provides clear and coherent explanations for each classification (A4).</t>
  </si>
  <si>
    <t>The model correctly decomposes the input into two intentions (A1) and does not invent information (A2). However, it incorrectly classifies the first request, 'Dime el consumo del aire acondicionado esta semana,' as 'comparacion_consumos' (B1 incorrect), whereas the expected output correctly identifies it as 'consumo_basico'. Furthermore, the 'notas' for this first request states 'La intención principal es comparar consumos energéticos...', which is incoherent (A4 incorrect) as it describes the overall input's intention rather than the specific sub-request for current week's consumption. This demonstrates a significant lack of internal coherence and incorrect classification for a key part of the input.</t>
  </si>
  <si>
    <t>The model fails to correctly decompose the input into individual, independent intentions (A1). Instead of separating 'consumo del horno este mes' and 'saber si hay alguna anomalía', it assigns the entire input string to `@1`. Furthermore, the second intention `@2` ('Consumo energético histórico de dispositivos específicos') is too generic and loses the 'este mes' context from the input, which can be considered inventing or generalizing information not explicitly present (A2). The classification for `@1` as 'deteccion_anomalias_tendencias' is incorrect because the entire input is not solely about anomaly detection; it also includes a basic consumption query. While the 'notas' field is internally consistent with the model's flawed output (A4), the fundamental failures in decomposition and specificity place the response in the lowest score range.</t>
  </si>
  <si>
    <t>The model fails significantly in decomposing the input into all individual, independent intentions (A1). The 'Actual Output' combines the comparison and the two basic consumption requests into a single entry, and the second entry is a partial and incomplete extraction of an implicit intention. It does not correctly infer the two distinct 'consumo_basico' intentions for 'yesterday' and 'today' as separate requests before the comparison, as shown in the 'Expected Output' (A3). Furthermore, the 'notas' field only explains the first identified request, indicating a lack of internal coherence for the entire output (A4).</t>
  </si>
  <si>
    <t>The model correctly decomposes the input into two independent requests (A1) and does not invent information (A2). Both requests are correctly classified into their respective scenarios ('consumo_basico' and 'comparacion_consumos') (B1), and the 'notas' field is clear and coherent (A4). However, the interpretation of the second request (A3) is slightly incomplete; the 'Actual Output' for '@2' ('Comparar el consumo de la nevera y el horno') omits the implicit temporal context 'durante el día de ayer' which was present in the 'Input' and correctly inferred by the 'Expected Output'.</t>
  </si>
  <si>
    <t>The model successfully decomposes the input 'Quiero saber el consumo de mi PC esta semana y luego compararlo con la semana pasada' into two distinct requests, '@1' and '@2', without inventing any information (A1, A2). The interpretation of these requests, '¿Cuánto ha consumido el PC durante esta semana?' and 'Comparar el consumo del PC de esta semana con la semana pasada', aligns perfectly with the 'Expected Output' (A3). Furthermore, both requests are correctly classified into their respective scenarios, 'consumo_basico' and 'comparacion_consumos', which matches the 'Expected Output' and the implied rules (B1). The 'notas' field provides clear and coherent explanations for these classifications (A4).</t>
  </si>
  <si>
    <t>The model fails to correctly decompose the input into independent requests, as it includes the original input as '@1' in the 'Actual Output', which is redundant. Furthermore, the decomposed request '@2' ('Quiero saber el consumo del ventilador.') incorrectly omits the temporal context 'ayer' which, according to the 'Expected Output', applies to both parts of the original request. This indicates a misinterpretation of the natural language's scope. While the scenarios for the partially correct decompositions ('@2' and '@3') are assigned appropriately, the fundamental issues in decomposition (A1) and semantic interpretation (A3) lead to an insufficient quality.</t>
  </si>
  <si>
    <t>The model fails to correctly decompose the input into independent requests, as `@1` contains the entire original input. Crucially, it invents information in `@2` ('Quiero comparar el consumo de mi hogar con el mismo período de tiempo el año pasado') which is not deducible from the input, directly violating A2. Furthermore, the `notas` for `@1` are inconsistent with the content of the request, stating it's 'sin mencionar comparaciones ni tendencias' despite the request explicitly asking about 'tendencia creciente', indicating a failure in A4. The model also incorrectly assigns `consumo_basico` to a request that includes a trend analysis, missing the `deteccion_anomalias_tendencias` scenario identified in the Expected Output.</t>
  </si>
  <si>
    <t>The model fails in the decomposition of the request by creating a redundant intention for Tuesday's consumption ('@4') and a mixed intention ('@1') that combines data retrieval and comparison, which is not an independent intention. Furthermore, the overall 'notas' field states 'dos de ellas corresponden al consumo básico' and 'las otras dos corresponden a la comparación de consumos', which is inconsistent with the actual output containing three 'consumo_basico' and one 'comparacion_consumos' requests. This demonstrates a significant lack of internal coherence (A4) and flawed decomposition (A1).</t>
  </si>
  <si>
    <t>The model fails in decomposing the input into individual, independent intentions (A1), as it combines 'consumo total de la casa' and 'si ha ido aumentando en el año' into a single request in '@1'. Furthermore, the intention in '@2' ('Se requiere comparar dos o más consumos') is a generic statement rather than a specific inference from the input's second part (A3), and its classification as 'comparacion_consumos' is less accurate than 'deteccion_anomalias_tendencias' for analyzing an annual trend (B1). The 'notas' field acknowledges 'análisis temporal' and 'tendencias' but the output's structure and classification for the second intention do not fully align with this reasoning (A4).</t>
  </si>
  <si>
    <t>The model correctly decomposes the input into two distinct intentions: 'Dime el consumo del horno ayer' and 'Luego dime si fue anormal'. It accurately classifies the first intention as 'consumo_basico' and the second as 'deteccion_anomalias_tendencias', aligning with the Expected Output. The model successfully infers the implicit context for the second request, understanding that 'anormal' refers to the oven's consumption from the previous request. Furthermore, the 'notas' field provides a clear and coherent explanation for the chosen classifications, demonstrating strong internal consistency. All criteria (A1-A4, B1) are met without inventing information.</t>
  </si>
  <si>
    <t>The model correctly decomposes the input into two independent requests (A1) and does not invent any information (A2). Both requests are accurately classified into the correct scenarios, 'consumo_basico' and 'comparacion_consumos', aligning perfectly with the expected output (B1). The 'notas' field provides clear and coherent reasoning for the scenario assignments (A4). However, for the second request, the actual output's 'solicitud': 'Luego compáralo con el consumo del sábado pasado.' is slightly less explicit than the expected output's 'Comparar el consumo energético de la nevera entre ayer y el sábado pasado.' While the intention is correctly inferred, the actual output's phrasing relies more on the context of the first request, making it marginally less self-contained compared to the expected output (A3).</t>
  </si>
  <si>
    <t>The model fails to correctly decompose the input into individual, independent requests, as it merges the 'consultar nevera' and 'comparar con lavadora' intentions into a single request (@1). This deviates from the Expected Output's more granular decomposition into a basic consumption query and a separate comparison. Consequently, the 'consumo_basico' scenario, identified in the Expected Output, is entirely missed. Additionally, the anomaly detection request (@2) in the Actual Output is less specific, referring to 'consumo de energía del hogar' instead of 'nevera y la lavadora' as in the Expected Output. These shortcomings indicate insufficient semantic quality (A1-A4).</t>
  </si>
  <si>
    <t>The model correctly decomposed the input into three independent intentions, aligning with A1. It did not invent any information (A2). All three intentions were correctly classified into their respective scenarios: 'consumo_basico', 'comparacion_consumos', and 'deteccion_anomalias_tendencias', demonstrating correct B1 classification. The model also correctly inferred the implicit comparison context for the second intention (A3). Furthermore, the 'notas' field for each intention and the overall notes provided clear and consistent reasoning, confirming internal coherence (A4).</t>
  </si>
  <si>
    <t>The model correctly decomposes the input into three independent intentions and maintains internal coherence in its 'notas' field (A1-A4 are correct). However, it incorrectly classifies one of the requests. Specifically, the intention 'Si ha aumentado este año.' is classified as 'comparacion_consumos' in the actual output, while the expected output correctly identifies this as 'deteccion_anomalias_tendencias' for 'Analizar la tendencia anual del consumo energético'. This single incorrect scenario classification (B1 incorrect) places the score in the 5-7 range according to the rubric.</t>
  </si>
  <si>
    <t>The model fails significantly in decomposing the input into individual, independent requests (A1). It combines 'Dime el consumo del aire acondicionado esta semana' and 'compáralo con la anterior' into a single request and completely omits the 'analiza la tendencia' part of the input. This leads to an incorrect interpretation of the user's full intention (A3) compared to the Expected Output, which correctly identifies three distinct requests. The assigned scenario for the combined request is partially correct for the comparison aspect but misses the other distinct intentions and their respective scenarios (B1).</t>
  </si>
  <si>
    <t>The model correctly decomposes the input into three individual intentions, aligning perfectly with the Expected Output's structure and content. It does not invent any information (A2) and accurately infers implicit intentions regarding the air conditioner's consumption for comparison and trend analysis (A3). All scenario classifications ('comparacion_consumos', 'consumo_basico', 'deteccion_anomalias_tendencias') are correct according to the Expected Output (B1). Furthermore, the 'notas' field provides clear and consistent reasoning for each identified request and its classification, demonstrating strong internal coherence (A4). The model fully meets all criteria for an excellent score.</t>
  </si>
  <si>
    <t>The model correctly decomposes the input into two independent requests, 'Dime el consumo del televisor ayer.' and 'Debería cambiar de carrera profesional.', without inventing information (A1, A2). Both requests are accurately classified into their respective scenarios, 'consumo_basico' and 'entrada_inadmisible', aligning perfectly with the Expected Output (B1). The 'notas' provided for each request and the overall output are clear and coherent (A4). While the phrasing of the second request's 'solicitud' in the Actual Output is a direct quote from the input, it differs slightly from the Expected Output's more interpretive phrasing ('Recomendar un cambio de carrera profesional basado en el consumo energético'). However, the Actual Output's direct decomposition is valid and does not invent information, and the core intention and scenario classification are correct (A3).</t>
  </si>
  <si>
    <t>The model fails to decompose the input into all individual, independent intentions (A1), specifically by not separating the consumption queries for the refrigerator and television as shown in the Expected Output. This also means it misses inferring the implicit intentions (A3) of querying each device's consumption separately. Consequently, the classification for the first decomposed intention ('¿Cuánto consumieron la nevera y el televisor ayer?') as 'comparacion_consumos' is incorrect (B1), as it should involve 'consumo_basico' for individual device queries. However, the model correctly identifies and classifies the explicit comparison intention ('¿Cuál fue mayor?') and maintains internal coherence (A4) within its own decomposition.</t>
  </si>
  <si>
    <t>The model correctly decomposes the input 'Quiero el consumo del ventilador ayer, del PC hoy y una comparación entre ambos' into three independent requests, aligning perfectly with the expected output's interpretation. It accurately assigns 'consumo_basico' to the individual consumption requests for the fan and PC, and 'comparacion_consumos' for the comparison request. The 'notas' field provides clear and coherent justifications for each scenario assignment, demonstrating a strong understanding of the input's intentions without inventing any information.</t>
  </si>
  <si>
    <t>The model correctly decomposes the input into three requests (A1-A2). However, it significantly fails in interpreting the natural language and inferring implicit details (A3). Requests @1, @2, and @3 in the Actual Output are too literal and lack the full context (e.g., 'energético', 'durante el fin de semana', 'de la lavadora y el horno') that is correctly inferred in the Expected Output. Additionally, the model incorrectly assigns the 'comparacion_consumos' scenario to the first request, which should be 'consumo_basico' (B1). The 'notas' field also provides an inaccurate justification for this misclassification (A4). These issues demonstrate insufficient semantic quality.</t>
  </si>
  <si>
    <t>The model correctly decomposes the input into four independent requests (A1) and does not invent any information (A2). All requests are accurately classified into their corresponding scenarios (B1), aligning with the Expected Output, and the 'notas' field provides clear and coherent explanations (A4). However, there is a minor shortcoming in the interpretation (A3) as the temporal context 'ayer' (yesterday) from the initial part of the input is not explicitly propagated to the 'solicitud' field for requests @2, @3, and @4, unlike the Expected Output which maintains this precision across all relevant sub-requests.</t>
  </si>
  <si>
    <t>The model correctly identifies the user's intentions without inventing information and maintains internal coherence in its notes (A1-A4 are mostly correct within its own structure). However, its decomposition of the input differs from the Expected Output, combining 'consumo' and 'anomalías' into a single request, whereas the Expected Output separates them. More critically, the model incorrectly classifies the first decomposed request. While the 'anomalías' aspect correctly aligns with 'deteccion_anomalias_tendencias', the 'consumo' part of the request should ideally be classified under 'consumo_basico' as per the Expected Output, leading to a misclassification for that specific aspect (B1 incorrect). The second request's decomposition and scenario assignment are correct.</t>
  </si>
  <si>
    <t>El modelo descompone correctamente la entrada en tres solicitudes independientes y su interpretación de las intenciones del usuario es adecuada para las solicitudes '@1' y '@2'. Las 'notas' también son claras y coherentes. Sin embargo, el modelo clasifica incorrectamente la tercera solicitud, 'Dime si con eso ya puedo ahorrar para irme de viaje', como 'prediccion_estimacion'. La clasificación correcta, según el 'Expected Output', debería ser 'entrada_inadmisible', lo que indica que el modelo no reconoce los límites de su dominio para esta petición específica.</t>
  </si>
  <si>
    <t xml:space="preserve"> {'1': {'solicitud': 'Consultar consumo energético de la nevera y la lavadora ayer', 'escenario': 'consumo_basico'}} | notas: La solicitud es clara y se ajusta a los criterios del escenario de consumo básico.</t>
  </si>
  <si>
    <t xml:space="preserve"> {'1': {'solicitud': '¿Cuánto consumió mi casa el lunes y cuánto consumió el martes?', 'escenario': 'consumo_basico'}} | notas: La solicitud se ajusta al escenario de consumo básico, que se refiere a la consulta de valores de consumo energético históricos para dispositivos o zonas del hogar.</t>
  </si>
  <si>
    <t xml:space="preserve"> {'1': {'solicitud': '¿Cuanto energía gastaron mi PC, mi monitor y mi router ayer?', 'escenario': 'consumo_basico'}} | notas: La solicitud es de consumo básico. El sistema puede proporcionar valores puntuales o históricos de consumo energético de los dispositivos mencionados.</t>
  </si>
  <si>
    <t xml:space="preserve"> {'1': {'solicitud': 'Obtener valores de consumo energético históricos de la casa', 'escenario': 'consumo_basico'}, '2': {'solicitud': 'Mostrar consumo energético por semana', 'escenario': 'consumo_basico'}} | notas: La solicitud se refiere a datos históricos de consumo energético de la casa y a un consumo específico por semana.</t>
  </si>
  <si>
    <t xml:space="preserve"> {'@1': {'solicitud': 'Obtener consumo de energía del televisor ayer', 'escenario': 'consumo_basico'}, '@2': {'solicitud': 'Evaluar la moralidad del consumo de energía', 'escenario': 'entrada_inadmisible'}} | notas: La solicitud de consumo de energía es adecuada para el escenario de consumo básico. Sin embargo, la evaluación de la moralidad del consumo de energía está fuera del alcance de este sistema.</t>
  </si>
  <si>
    <t xml:space="preserve"> {'1': {'solicitud': 'Calcular el consumo total de la casa durante marzo de 2024.', 'escenario': 'consumo_basico'}, '2': {'solicitud': 'Obtener valores puntuales de consumo energético para marzo de 2024.', 'escenario': 'consumo_basico'}} | notas: La solicitud se ajusta al escenario de consumo básico, que se define como la consulta de valores de consumo energético ya registrados para un período específico.</t>
  </si>
  <si>
    <t xml:space="preserve"> {'1': {'solicitud': '¿Cuánto consumieron el televisor y el computador el sábado pasado?', 'escenario': 'consumo_basico'}, '2': {'solicitud': 'Consulta de valores puntuales de consumo energético históricos para dispositivos específicos en un periodo de tiempo claro.', 'escenario': 'consumo_basico'}} | notas: La solicitud se ajusta a un escenario de consumo básico, que se define como la consulta de valores de consumo energético ya registrados para un dispositivo o zona del hogar en un período de tiempo específico.</t>
  </si>
  <si>
    <t xml:space="preserve"> {'1': {'solicitud': 'Muéstreme el consumo del ventilador el día de ayer.', 'escenario': 'consumo_basico'}, '2': {'solicitud': 'Muestre consumo del ventilador en el día ayer.', 'escenario': 'entrada_inadmisible'}} | notas: La solicitud es clara y se ajusta al escenario de consumo básico, que se refiere a consultas de valores de consumo energético históricos o puntuales. Sin embargo, la solicitud específica de consumo de un ventilador solo para el día de ayer no es compatible con el escenario de entrada admitido.</t>
  </si>
  <si>
    <t xml:space="preserve"> {'1': {'solicitud': 'Consulta del consumo energético de un ventilador en la semana actual y de la lavadora en la semana pasada.', 'escenario': 'consumo_basico'}, '2': {'solicitud': 'Calcular la diferencia entre los consumos de la semana actual y la semana pasada para ambos dispositivos.', 'escenario': 'comparacion_consumos'}} | notas: La solicitud es clara y especifica los dispositivos y los períodos de tiempo relevantes. Se ajusta a los escenarios de entrada `consumo_basico` y `comparacion_consumos`.</t>
  </si>
  <si>
    <t xml:space="preserve"> {'1': {'solicitud': 'Muéstreme el consumo del horno en enero y en febrero.', 'escenario': 'consumo_basico'}} | notas: La solicitud especifica que se desea obtener datos puntuales sobre el consumo de energía del horno en enero y febrero.</t>
  </si>
  <si>
    <t xml:space="preserve"> {'1': {'solicitud': '¿Cuánto consumió mi televisor ayer en la noche?', 'escenario': 'consumo_basico'}, '2': {'solicitud': 'Consulta de consumo energético histórico del televisor.', 'escenario': 'consumo_basico'}} | notas: La solicitud se ajusta a los criterios de 'consumo_basico', que se refiere a solicitudes para consultar valores de consumo energético ya registrados para un dispositivo o periodo de tiempo específico.</t>
  </si>
  <si>
    <t xml:space="preserve"> {'@1': {'solicitud': '¿Cuánto consumió el aire acondicionado el fin de semana pasado?', 'escenario': 'consumo_basico'}} | notas: La solicitud se ajusta al escenario de consumo básico, que se refiere a solicitudes para obtener valores de consumo energético históricos de dispositivos o zonas del hogar.</t>
  </si>
  <si>
    <t xml:space="preserve"> {'1': {'solicitud': 'Obtener consumo de energía de la nevera, la lavadora y la secadora el domingo', 'escenario': 'consumo_basico'}} | notas: La solicitud es clara y se ajusta al escenario de consumo básico. El sistema puede obtener los datos del consumo energético de los dispositivos mencionados para el día especificado.</t>
  </si>
  <si>
    <t xml:space="preserve"> {'1': {'solicitud': 'Consulta del consumo energético histórico del horno en el 15 de noviembre', 'escenario': 'consumo_basico'}, '2': {'solicitud': 'Proporcionar detalles sobre el consumo energético del horno en el 15 de noviembre', 'escenario': 'prediccion_estimacion'}} | notas: La solicitud especifica la búsqueda de datos históricos relacionados con el consumo energético del horno en una fecha específica. Este tipo de consulta se ajusta a los escenarios de entrada 'consumo_basico' y 'prediccion_estimacion'.</t>
  </si>
  <si>
    <t xml:space="preserve"> {'1': {'solicitud': '¿Cuánto consumió mi casa en junio, julio y agosto?', 'escenario': 'consumo_basico'}} | notas: = "La solicitud especifica el consumo energético en los meses de junio, julio y agosto."</t>
  </si>
  <si>
    <t xml:space="preserve"> {'1': {'solicitud': 'Obtener consumo de la lavadora el lunes pasado', 'escenario': 'consumo_basico'}, '2': {'solicitud': 'Consulta de datos puntuales', 'escenario': 'consumo_basico'}} | notas: La solicitud es una consulta de consumo puntual de energía para un dispositivo específico (lavadora) en un período específico (lunes pasado).</t>
  </si>
  <si>
    <t xml:space="preserve"> {'1': {'solicitud': 'Consulta del consumo del aire acondicionado en la mañana y la noche de ayer.', 'escenario': 'consumo_basico'}, '2': {'solicitud': 'Valor específico del consumo energético para la mañana y la noche de ayer.', 'escenario': 'consumo_basico'}} | notas: La consulta es clara y se ajusta al escenario de consumo básico, que se refiere a solicitudes para consultar valores de consumo energético ya registrados.</t>
  </si>
  <si>
    <t xml:space="preserve"> {'1': {'solicitud': '¿Cuánto consumió mi nevera durante el mes de enero?', 'escenario': 'consumo_basico'}, '2': {'solicitud': 'Calcular el consumo mensual de la nevera.', 'escenario': 'prediccion_estimacion'}} | notas: La solicitud es clara y se ajusta a los escenarios de entrada 'consumo_basico' y 'prediccion_estimacion'. Se requiere acceder a datos históricos de consumo energético de la nevera para calcular el consumo mensual.</t>
  </si>
  <si>
    <t xml:space="preserve"> {'1': {'solicitud': '¿Qué tan feliz estuvo mi casa ayer con el consumo de energía?', 'escenario': 'entrada_inadmisible'}, '2': {'solicitud': 'Calcular la felicidad del hogar ayer en función del consumo energético', 'escenario': 'prediccion_estimacion'}} | notas: La solicitud es ambigua. No es posible determinar directamente la felicidad de la casa en función del consumo energético. Sin embargo, es posible estimar el consumo energético pasado y evaluar su impacto en la felicidad general de la casa.</t>
  </si>
  <si>
    <t xml:space="preserve"> {'1': {'solicitud': '¿Cuanto energía ha consumido mi computador hoy?', 'escenario': 'consumo_basico'}, '2': {'solicitud': 'Consulta de consumo puntual de energía de un dispositivo específico', 'escenario': 'consumo_basico'}} | notas: La solicitud es una consulta de consumo energético puntual de un dispositivo específico. Se ajusta al escenario de entrada "consumo_basico".</t>
  </si>
  <si>
    <t xml:space="preserve"> {'1': {'solicitud': 'Saber el consumo del ventilador y si hubo algún pico extraño ayer.', 'escenario': 'deteccion_anomalias_tendencias'}} | notas: La solicitud se ajusta al escenario de detección de anomalías y tendencias, ya que busca identificar picos de consumo energético.</t>
  </si>
  <si>
    <t xml:space="preserve"> {'1': {'solicitud': '¿Cuánto consumió mi nevera ayer y cuál consumió más, la nevera o el horno?', 'escenario': 'comparacion_consumos'}} | notas: La solicitud se ajusta a los criterios de "comparacion_consumos", donde se busca identificar diferencias absolutas o relativas en el consumo energético entre dispositivos.</t>
  </si>
  <si>
    <t xml:space="preserve"> {'1': {'solicitud': '¿Cuánto consumió mi casa en noviembre y cómo se compara con octubre?', 'escenario': 'comparacion_consumos'}} | notas: La solicitud requiere comparar los consumos de noviembre y octubre. Esta es una solicitud típica de comparación de consumos.</t>
  </si>
  <si>
    <t xml:space="preserve"> {'@1': {'solicitud': '¿Cuánto consumió la lavadora el sábado y fue más que el domingo?', 'escenario': 'consumo_basico'}} | notas: La solicitud se ajusta al escenario de consumo básico, ya que se trata de consultar valores de consumo energético históricos de un dispositivo.</t>
  </si>
  <si>
    <t xml:space="preserve"> {'1': {'solicitud': 'Obtener consumo de energía del televisor ayer', 'escenario': 'consumo_basico'}, '2': {'solicitud': 'Analizar tendencia del consumo de energía del televisor', 'escenario': 'deteccion_anomalias_tendencias'}} | notas: El consumo del televisor ayer se puede obtener a partir de los datos históricos de consumo energético del hogar. La tendencia del consumo puede ser analizada para identificar patrones y detectar posibles cambios.</t>
  </si>
  <si>
    <t xml:space="preserve"> {'1': {'solicitud': 'Consumir consumo del horno este mes', 'escenario': 'deteccion_anomalias_tendencias'}} | notas: La solicitud se ajusta al escenario de "deteccion de anomalías y tendencias", ya que busca identificar comportamientos anómalos en el consumo energético del horno este mes.</t>
  </si>
  <si>
    <t xml:space="preserve"> {'1': {'solicitud': '¿Cuánto consumió mi nevera ayer?', 'escenario': 'consumo_basico'}, '2': {'solicitud': 'Comparar consumo de la nevera con la lavadora', 'escenario': 'comparacion_consumos'}, '3': {'solicitud': 'Detectar picos raros', 'escenario': 'deteccion_anomalias_tendencias'}} | notas: La solicitud de consumo de la nevera se ajusta a los escenarios de entrada `consumo_basico` y `comparacion_consumos`, mientras que la detección de picos raros se ajusta a `deteccion_anomalias_tendencias`.</t>
  </si>
  <si>
    <t xml:space="preserve"> {'1': {'solicitud': 'Obtener consumo energético del horno ayer', 'escenario': 'consumo_basico'}, '2': {'solicitud': 'Determinar si el consumo del horno ayer fue anormal', 'escenario': 'deteccion_anomalias_tendencias'}} | notas: La solicitud del consumo del horno ayer se ajusta al escenario de entrada "consumo básico", mientras que la pregunta sobre si el consumo fue anormal se relaciona con el escenario de entrada "detección de anomalías y tendencias".</t>
  </si>
  <si>
    <t xml:space="preserve"> {'1': {'solicitud': 'Consulta del consumo de aire acondicionado ayer', 'escenario': 'consumo_basico'}, '2': {'solicitud': 'Evaluación de la responsabilidad personal', 'escenario': 'prediccion_estimacion'}} | notas: La solicitud es clara y especifica el consumo de aire acondicionado ayer. Sin embargo, la evaluación de la responsabilidad personal requiere un análisis más profundo de los hábitos de consumo y los factores que pueden afectar el consumo de energía.</t>
  </si>
  <si>
    <t xml:space="preserve"> {'1': {'solicitud': 'Obtener el consumo mensual del ventilador', 'escenario': 'consumo_basico'}, '2': {'solicitud': 'Identificar tendencias en el consumo del ventilador', 'escenario': 'deteccion_anomalias_tendencias'}} | notas: La solicitud de consumo mensual del ventilador se ajusta al escenario de 'consumo básico', mientras que la solicitud de tendencia se ajusta al escenario de 'detección de anomalías y tendencias'.</t>
  </si>
  <si>
    <t xml:space="preserve"> {'1': {'solicitud': 'Calcular el consumo energético mensual de la casa y compararlo con el mes pasado.', 'escenario': 'consumo_basico'}} | notas: = "La solicitud se ajusta al escenario de 'consumo básico', que se refiere a consultas para obtener valores de consumo energético ya registrados para dispositivos o zonas del hogar, dentro de un intervalo temporal específico o claro."</t>
  </si>
  <si>
    <t xml:space="preserve"> {'1': {'solicitud': 'Determinar el consumo de aire acondicionado esta semana y compararlo con la semana pasada.', 'escenario': 'comparacion_consumos'}, '2': {'solicitud': 'Obtener datos puntuales del consumo de aire acondicionado de esta semana y la semana pasada.', 'escenario': 'consumo_basico'}} | notas: La solicitud requiere calcular y comparar los consumos de aire acondicionado de las dos semanas.</t>
  </si>
  <si>
    <t xml:space="preserve"> {'1': {'solicitud': '¿Cuánto consumió la lavadora el lunes y luego compárala con el martes?', 'escenario': 'comparacion_consumos'}} | notas: La solicitud se ajusta al escenario de comparación de consumos energéticos entre dos períodos de tiempo distintos.</t>
  </si>
  <si>
    <t xml:space="preserve"> {'1': {'solicitud': 'Consulta del consumo de energía del televisor ayer', 'escenario': 'consumo_basico'}} | notas: La solicitud se ajusta al escenario de consumo básico, ya que se trata de obtener un valor puntual de consumo energético para un dispositivo específico en un período de tiempo específico.</t>
  </si>
  <si>
    <t xml:space="preserve"> {'1': {'solicitud': 'Obtener consumo de energía de la nevera ayer y del sábado pasado.', 'escenario': 'consumo_basico'}, '2': {'solicitud': 'Comparar consumo de energía de la nevera entre ayer y el sábado pasado.', 'escenario': 'comparacion_consumos'}} | notas: = "La solicitud es clara y se ajusta a los escenarios de entrada admitidos por el sistema. Se puede realizar la comparación de consumo energético entre los dos períodos de tiempo especificados."</t>
  </si>
  <si>
    <t xml:space="preserve"> {'1': {'solicitud': 'Calcular el consumo total de la casa en el año pasado y en el año actual.', 'escenario': 'consumo_basico'}, '2': {'solicitud': 'Determinar si el consumo total de la casa ha aumentado en el año pasado.', 'escenario': 'deteccion_anomalias_tendencias'}} | notas: La solicitud 1 es una solicitud básica de consumo total, mientras que la solicitud 2 busca detectar si hay cambios en el consumo total a lo largo del año.</t>
  </si>
  <si>
    <t xml:space="preserve"> {'@1': {'solicitud': 'Consultar consumo del aire acondicionado la semana pasada', 'escenario': 'consumo_basico'}, '@2': {'solicitud': 'Analizar anomalías en el consumo del aire acondicionado', 'escenario': 'deteccion_anomalias_tendencias'}} | notas: El consumo del aire acondicionado se puede consultar en los datos históricos del consumo energético. Para identificar anomalías, se puede analizar la tendencia del consumo en el tiempo.</t>
  </si>
  <si>
    <t xml:space="preserve"> {'1': {'solicitud': ' Knew cuanto consumió la nevera ayer', 'escenario': 'consumo_basico'}, '2': {'solicitud': ' Knew cuánto consumió la lavadora ayer', 'escenario': 'consumo_basico'}, '3': {'solicitud': 'Comparar consumos entre la nevera y la lavadora', 'escenario': 'comparacion_consumos'}, '4': {'solicitud': 'Identificar consumo extraño en cualquiera de los dos dispositivos', 'escenario': 'deteccion_anomalias_tendencias'}} | notas: La solicitud incluye consumo de dos dispositivos distintos y pide conocer el consumo ayer. La solicitud también menciona la necesidad de identificar consumos anómalos.</t>
  </si>
  <si>
    <t xml:space="preserve"> {'@1': {'solicitud': 'Consumir consumo energético del PC esta semana', 'escenario': 'comparacion_consumos'}, '@2': {'solicitud': 'Comparar consumo del PC esta semana con la semana pasada', 'escenario': 'comparacion_consumos'}} | notas: La solicitud se ajusta a los criterios de `comparacion_consumos`, ya que se trata de comparar consumos energéticos entre períodos de tiempo distintos.</t>
  </si>
  <si>
    <t xml:space="preserve"> {'1': {'solicitud': 'Determinar el consumo de energía del PC ayer y su tendencia actual', 'escenario': 'consumo_basico'}, '2': {'solicitud': 'Identificar si hay un aumento en el consumo de energía del PC este mes', 'escenario': 'deteccion_anomalias_tendencias'}} | notas: La solicitud requiere datos históricos de consumo energético del PC para identificar tendencias y determinar si hay un aumento en el consumo este mes.</t>
  </si>
  <si>
    <t xml:space="preserve"> {'1': {'solicitud': 'Obtener consumo del televisor ayer y hoy', 'escenario': 'consumo_basico'}, '2': {'solicitud': 'Comparar consumo del televisor ayer y hoy', 'escenario': 'comparacion_consumos'}} | notas: La solicitud se puede interpretar como dos preguntas: obtener el consumo del televisor ayer y hoy, y luego comparar los dos consumos.</t>
  </si>
  <si>
    <t xml:space="preserve"> {'@1': {'solicitud': 'Consumo del ventilador ayer', 'escenario': 'consumo_basico'}, '@2': {'solicitud': 'Consumo del PC hoy', 'escenario': 'consumo_basico'}, '@3': {'solicitud': 'Comparación entre consumo del ventilador ayer y del PC hoy', 'escenario': 'comparacion_consumos'}} | notas: = "La solicitud de consumo del ventilador ayer se ha incluido como un consumo básico, mientras que la solicitud del PC hoy también se ha incluido en este escenario. La comparación entre ambos consumo se realiza en el escenario de comparación de consumos."</t>
  </si>
  <si>
    <t xml:space="preserve"> {'1': {'solicitud': '¿Cuánto consumió mi casa en octubre?', 'escenario': 'consumo_basico'}, '2': {'solicitud': 'Cómo se compara el consumo de octubre con noviembre?', 'escenario': 'comparacion_consumos'}, '3': {'solicitud': '¿Hubo algún pico raro en el consumo?', 'escenario': 'deteccion_anomalias_tendencias'}} | notas: = "La solicitud especifica consumo en octubre y noviembre, buscando posibles picos irregulares."</t>
  </si>
  <si>
    <t xml:space="preserve"> {'1': {'solicitud': '¿Cuánto consumieron la nevera y el televisor ayer y cuál fue mayor?', 'escenario': 'consumo_basico'}} | notas: La solicitud es una solicitud de consumo básico, ya que se trata de consultar valores de consumo energético ya registrados para dispositivos específicos en un periodo de tiempo específico.</t>
  </si>
  <si>
    <t xml:space="preserve"> {'@1': {'solicitud': 'Determinar el consumo del horno este mes.', 'escenario': 'consumo_basico'}, '@2': {'solicitud': 'Analizar si hay anomalías en el consumo del horno este mes.', 'escenario': 'deteccion_anomalias_tendencias'}, '@3': {'solicitud': 'Identificar si el consumo del horno está en aumento.', 'escenario': 'deteccion_anomalias_tendencias'}} | notas: = "La solicitud se ajusta al escenario de consumo básico para obtener valores puntuales y al de detección de anomalías para identificar tendencias sostenidas. Se requiere información histórica de consumo del horno para realizar el análisis."</t>
  </si>
  <si>
    <t xml:space="preserve"> {'1': {'solicitud': 'Consumción total de la casa', 'escenario': 'consumo_basico'}, '2': {'solicitud': 'Aumento del consumo este año', 'escenario': 'deteccion_anomalias_tendencias'}, '3': {'solicitud': 'Días anómalos', 'escenario': 'deteccion_anomalias_tendencias'}} | notas: = "La solicitud especifica obtener datos sobre el consumo energético total de la casa, identificar si ha aumentado este año y detectar posibles días anómalos."</t>
  </si>
  <si>
    <t xml:space="preserve"> {'1': {'solicitud': '¿Cuánto consumió el aire acondicionado ayer?', 'escenario': 'consumo_basico'}, '2': {'solicitud': 'Cómo se compara el consumo de ayer con la semana pasada?', 'escenario': 'comparacion_consumos'}, '3': {'solicitud': 'Qué tendencia tiene el consumo de aire acondicionado?', 'escenario': 'deteccion_anomalias_tendencias'}} | notas: La solicitud es clara y especifica los datos necesarios para identificar el consumo de aire acondicionado, comparar con la semana pasada y detectar tendencias.</t>
  </si>
  <si>
    <t xml:space="preserve"> {'1': {'solicitud': 'Obtener consumo energético de la nevera ayer', 'escenario': 'consumo_basico'}, '2': {'solicitud': 'Comparar consumo energético de la nevera y la lavadora', 'escenario': 'comparacion_consumos'}, '3': {'solicitud': 'Establecer si el consumo de ambas máquinas permite ahorrar para viajar', 'escenario': 'prediccion_estimacion'}} | notas: Se han identificado dos solicitudes: una para obtener el consumo de la nevera ayer, otra para comparar el consumo de la nevera y la lavadora. La tercera solicitud es ambigua ya que no especifica cómo determinar si el consumo de ambas máquinas permite ahorrar para viajar.</t>
  </si>
  <si>
    <t xml:space="preserve"> {'1': {'solicitud': 'Determinar el consumo de aire acondicionado esta semana', 'escenario': 'consumo_basico'}, '2': {'solicitud': 'Comparar el consumo de aire acondicionado de esta semana con la anterior', 'escenario': 'comparacion_consumos'}, '3': {'solicitud': 'Analizar la tendencia del consumo de aire acondicionado a largo plazo', 'escenario': 'deteccion_anomalias_tendencias'}} | notas: = "La solicitud implica calcular y comparar los consumos de aire acondicionado de las últimas dos semanas, a fin de identificar tendencias y patrones."</t>
  </si>
  <si>
    <t xml:space="preserve"> {'1': {'solicitud': 'Determinar el consumo energético de la lavadora en el fin de semana', 'escenario': 'consumo_basico'}, '2': {'solicitud': 'Comparar el consumo de la lavadora con el horno', 'escenario': 'comparacion_consumos'}, '3': {'solicitud': 'Identificar picos de consumo energético', 'escenario': 'deteccion_anomalias_tendencias'}} | notas: La solicitud de consumo de la lavadora se ajusta a los escenarios de entrada "consumo_basico" y "comparacion_consumos". La detección de picos se ajusta a "deteccion_anomalias_tendencias".</t>
  </si>
  <si>
    <t>The model failed to correctly decompose the input into individual, independent intentions (A1). The input 'Dime el consumo de mi nevera ayer y el consumo de mi lavadora ayer' clearly contains two distinct requests for energy consumption, but the actual output incorrectly combined them into a single, aggregated request, which is a significant shortcoming in semantic quality.</t>
  </si>
  <si>
    <t>The model failed to correctly decompose the input "¿Cuánto consumió mi casa el lunes y cuánto consumió el martes?" into two individual, independent intentions for Monday and Tuesday's consumption, as required by A1. It treated the entire input as a single request, missing the implicit intention inference (A3) for two distinct consumption queries, which is a significant shortcoming in semantic quality.</t>
  </si>
  <si>
    <t>The Actual Output incorrectly processes the input "¿Cuánta energía gastaron mi PC, mi monitor y mi router ayer?" as a single request, failing to decompose it into individual, independent intentions for each device (PC, monitor, router). This is a direct failure in criterion A1 (decomposition into all individual, independent intentions) when compared to the Expected Output, which correctly identifies three distinct requests. While the classification 'consumo_basico' for the single identified request is correct (B1), the fundamental error in decomposition places the response in the 0-4 range of the rubric.</t>
  </si>
  <si>
    <t>The model fails in the decomposition of the request (A1). The input 'Dime cuántos kWh consumió mi casa la semana pasada' represents a single, specific intention, as correctly identified by the Expected Output. However, the Actual Output incorrectly decomposes this into two separate intentions: 'Obtener valores de consumo energético históricos de la casa' and 'Mostrar consumo energético por semana'. This over-decomposition and misidentification of individual, independent intentions is a significant shortcoming. While the scenario classification 'consumo_basico' is correct for both identified intentions (B1) and the 'notas' field is internally consistent with the Actual Output's decomposition (A4), the fundamental failure in A1 places the score in the lower range of the rubric.</t>
  </si>
  <si>
    <t>The model correctly decomposes the input into two distinct intentions, 'Obtener consumo de energía del televisor ayer' and 'Evaluar la moralidad del consumo de energía,' without inventing information (A1, A2). Both intentions are accurately classified into 'consumo_basico' and 'entrada_inadmisible' respectively (B1). The 'notas' field provides clear and consistent reasoning for these classifications, demonstrating strong internal coherence (A4).</t>
  </si>
  <si>
    <t>The model fails in decomposing the input request, creating two intentions where only one is present in the input. Specifically, the input asks for 'consumo total', which is a single aggregated value, but the actual output includes a second intention to 'Obtener valores puntuales de consumo energético', which is an over-decomposition and misinterpretation of the original request. This indicates a failure in criteria A1 (decomposition) and potentially A2 (inventing information), aligning with the 0-4 score range.</t>
  </si>
  <si>
    <t>The model failed to correctly decompose the input into individual, independent intentions (A1). Instead of separating the requests for 'televisor' and 'computador' as shown in the Expected Output, it kept the original combined query as 'solicitud 1' and then invented a generic description of a request as 'solicitud 2' (A2). This also indicates a failure to infer implicit intentions (A3). While the assigned scenario 'consumo_basico' is correct for the type of query, the fundamental issues in decomposition and invention of information lead to a low score.</t>
  </si>
  <si>
    <t>The model fails significantly in decomposing the input, incorrectly splitting a single, clear intention into two. It invents a second, redundant intention ('Muestre consumo del ventilador en el día ayer.') and then classifies it as 'entrada_inadmisible', which contradicts its classification of the first intention ('consumo_basico') and the overall validity of the input. Furthermore, the 'notas' field exhibits a clear lack of internal coherence, stating that the request 'se ajusta al escenario de consumo básico' but then immediately contradicting itself by saying it 'no es compatible con el escenario de entrada admitido'. This demonstrates a fundamental misunderstanding of the input and its own classification logic, failing criteria A1, A2, and A4.</t>
  </si>
  <si>
    <t>The model fails significantly in decomposing the input (A1) by combining two distinct consumption queries into a single intention, rather than separating them as individual requests. More critically, it invents an entirely new intention ('Calcular la diferencia entre los consumos...') that is not present in the original input (A2). This invention leads to an incorrect scenario classification for the invented intention (B1) and an incoherent justification in the 'notas' field (A4), which attempts to validate the non-existent comparison request.</t>
  </si>
  <si>
    <t>The model failed to decompose the input 'Muéstrame el consumo del horno en enero y en febrero' into individual, independent requests for each month, treating it as a single request. This violates evaluation step A1 and leads to an incorrect interpretation of the natural language input compared to the Expected Output (A3). The 'notas' field in the Actual Output also reflects this lack of decomposition, failing to capture the implicit comparison between periods as identified in the Expected Output (A4).</t>
  </si>
  <si>
    <t>The model incorrectly decomposes the single input request into two separate requests, where the second request ('Consulta de consumo energético histórico del televisor.') is redundant and not an independent action (A1). This also leads to a less precise interpretation compared to the Expected Output's single, specific request (A3). While the assigned scenario 'consumo_basico' is correct for the nature of the query (B1), the flawed decomposition and the slight incoherence in the 'notas' field (referring to 'La solicitud' in singular despite two requests) indicate insufficient semantic quality (A1-A4).</t>
  </si>
  <si>
    <t>The model correctly decomposes the input into a single request (A1) and does not invent any information (A2). The inferred intention of consulting energy consumption for the air conditioner last weekend aligns perfectly with the `Expected Output`'s interpretation, even though the `solicitud` field is a direct copy of the input rather than a rephrasing (A3). The `notas` field is clear and coherent, accurately describing the request (A4). Finally, the request is correctly classified into the 'consumo_basico' scenario, matching the `Expected Output` (B1).</t>
  </si>
  <si>
    <t>The model failed to correctly decompose the input 'Quiero saber el consumo de mi nevera, mi lavadora y mi secadora el domingo' into individual, independent requests for each appliance (A1), as specified by the Expected Output. Instead, it combined the three distinct requests into a single one. While the assigned scenario 'consumo_basico' is correct for the type of request and no information was invented (A2), the fundamental failure in decomposition (A1) and the resulting misalignment with the Expected Output's interpretation (A3) lead to insufficient semantic quality.</t>
  </si>
  <si>
    <t>The model fails to correctly decompose the input, identifying two requests when the input '¿Cuál fue el consumo energético de mi horno el 15 de noviembre?' clearly represents a single, historical query. The second decomposed request, 'Proporcionar detalles sobre el consumo energético del horno en el 15 de noviembre', is redundant and not an independent intention (A1). Furthermore, this second request is incorrectly classified under the 'prediccion_estimacion' scenario, which contradicts the historical nature of the input (B1). The 'notas' field also exhibits incoherence by justifying both 'consumo_basico' and 'prediccion_estimacion' for a historical data request (A4).</t>
  </si>
  <si>
    <t>The model failed to correctly decompose the input '¿Cuánto consumió mi casa en junio, julio y agosto?' into individual, independent requests (A1). Instead of separating the query into three distinct requests for June, July, and August as per the Expected Output, it kept them as a single request. This indicates a misalignment with the Expected Output's interpretation of the natural language (A3). While the assigned scenario 'consumo_basico' is correct and no information was invented, the fundamental failure in decomposition places the response in the lower range of the rubric.</t>
  </si>
  <si>
    <t>The model incorrectly decomposes the single user request 'Dime el consumo de mi lavadora el lunes pasado' into two separate requests. The second request, 'Consulta de datos puntuales', is redundant and not an independent intention, indicating a failure in correctly decomposing the input into individual, independent requests (A1) and a misinterpretation of the input's natural language structure (A3). While the primary intention and scenario ('consumo_basico') are correctly identified, the flawed decomposition significantly impacts the semantic quality.</t>
  </si>
  <si>
    <t>The model fails to correctly decompose the input 'Quiero saber el consumo del aire acondicionado en la mañana y en la noche de ayer' into individual, independent requests. The 'Actual Output' combines 'mañana y la noche de ayer' into a single 'solicitud' in both of its decomposed requests, unlike the 'Expected Output' which correctly separates them into two distinct queries for 'mañana de ayer' and 'noche de ayer'. This indicates a failure in criteria A1 and A3, as the interpretation of the natural language is not aligned with the expected decomposition. While the assigned scenario 'consumo_basico' is correct (B1), the fundamental flaw in decomposition and interpretation places the response in the lower range of the rubric.</t>
  </si>
  <si>
    <t>The model correctly identifies and classifies the primary intention '¿Cuánto consumió mi nevera durante el mes de enero?' as 'consumo_basico', aligning with the Expected Output. However, it incorrectly decomposes the input by inventing a second, independent intention: 'Calcular el consumo mensual de la nevera'. This is not an explicit or implicit user request but rather an internal system operation. Furthermore, this invented intention is incorrectly classified as 'prediccion_estimacion', which contradicts the input's request for historical data. This demonstrates a failure in correctly decomposing the input (A1), inventing information not present (A2), and incorrect scenario classification (B1) for the second intention, placing it in the 0-4 range of the rubric.</t>
  </si>
  <si>
    <t>The model incorrectly decomposes the input by creating a second, reinterpreted request ('Calcular la felicidad del hogar ayer en función del consumo energético') that is not an independent intention deducible from the original input (A1, A2). This second request attempts to invent an actionable interpretation for a non-technical query, diverging from the Expected Output's interpretation that the entire intention is inadmissible (A3). Furthermore, the scenario 'prediccion_estimacion' assigned to this invented request is incorrect, as 'la felicidad del hogar' is not a valid concept for technical prediction or estimation (B1). While the model correctly identifies the original query as 'entrada_inadmisible', the subsequent flawed decomposition and classification significantly reduce its accuracy.</t>
  </si>
  <si>
    <t>The model fails in the decomposition of the input request (A1). It incorrectly breaks down the single, straightforward input 'Quiero saber cuánta energía gastó mi computador hoy' into two requests, where the second request ('Consulta de consumo puntual de energía de un dispositivo específico') is redundant and acts more as a description of the first request rather than an independent intention. This also leads to a misalignment with the Expected Output's single, concise request (A3). While the identified scenario 'consumo_basico' is correct (B1) and no information is invented (A2), the flawed decomposition and structural inconsistency with the expected output indicate insufficient semantic quality (A1-A4).</t>
  </si>
  <si>
    <t>The model failed to decompose the input into individual, independent intentions (A1), combining 'saber el consumo del ventilador' and 'si hubo algún pico extraño ayer' into a single request. This resulted in an incomplete scenario classification (B1), as the 'consumo_basico' intention for 'saber el consumo' was entirely missed. While it correctly identified the 'deteccion_anomalias_tendencias' for the 'pico extraño' part, the lack of decomposition and the omission of the 'consumo_basico' scenario represent a significant shortcoming.</t>
  </si>
  <si>
    <t>The model failed to decompose the input into individual, independent requests (A1), treating the two distinct intentions as a single request. It did not correctly interpret the natural language input (A3), missing the initial query about the refrigerator's consumption. This led to an incorrect single scenario assignment (`comparacion_consumos`) for a compound request that also included a `consumo_basico` component, as correctly identified in the Expected Output (B1). The semantic quality is insufficient.</t>
  </si>
  <si>
    <t>The model fails to correctly decompose the input into all individual, independent intentions (A1). It combines 'Consultar el consumo energético total del hogar durante noviembre' and 'Comparar el consumo energético total del hogar entre octubre y noviembre' into a single intention, missing the distinct 'consumo_basico' query for November. It also fails to infer this implicit intention (A3). While the classification for the identified (combined) intention is partially correct for the comparison aspect, the fundamental error in decomposition and missing an implicit intention places it in the lower score range.</t>
  </si>
  <si>
    <t>The model failed to decompose the input '¿Cuánto consumió la lavadora el sábado y fue más que el domingo?' into individual requests, treating it as a single entity. This omission led to an incorrect interpretation of the user's full intention, as it missed the implicit comparison request. Consequently, the model incorrectly assigned the entire request to the 'consumo_basico' scenario, failing to identify the 'comparacion_consumos' aspect present in the Expected Output.</t>
  </si>
  <si>
    <t>The model successfully decomposes the input 'Dime el consumo del televisor ayer y analiza si su consumo va en aumento' into two independent requests, 'Obtener consumo de energía del televisor ayer' and 'Analizar tendencia del consumo de energía del televisor', without inventing any information. Both requests accurately interpret the natural language of the input and align perfectly with the intentions expressed in the Expected Output. Furthermore, the model correctly assigns the 'consumo_basico' scenario to the first request and 'deteccion_anomalias_tendencias' to the second, matching the Expected Output's scenario classifications. The 'notas' field is also clear and coherent with the identified requests.</t>
  </si>
  <si>
    <t>The model failed to correctly decompose the input into individual, independent requests (A1), identifying only one request instead of the two distinct intentions present in the input: 'consumo del horno este mes' and 'saber si hay alguna anomalía'. Consequently, it did not align with the expected output's interpretation of the natural language (A3), which correctly identified both a 'consumo_basico' and a 'deteccion_anomalias_tendencias' scenario. The actual output's single request, 'Consumir consumo del horno este mes', was incorrectly assigned to 'deteccion_anomalias_tendencias', completely missing the 'consumo_basico' scenario (B1). The 'notas' field, while coherent with the single identified request, highlights the model's failure to address the full scope of the input.</t>
  </si>
  <si>
    <t>The model correctly decomposes the input into three independent requests and does not invent information (A1, A2). It accurately interprets the user's intentions, aligning well with the expected output for the first two requests. For the third request, 'Detectar picos raros', while correct in its core intention, it is slightly less explicit about the context (nevera, lavadora, ayer) compared to the expected output, which fully carries over the implicit details (A3). All three decomposed requests are correctly classified into their respective scenarios: 'consumo_basico', 'comparacion_consumos', and 'deteccion_anomalias_tendencias' (B1). The 'notas' field is clear and coherent with the identified requests and their scenarios (A4).</t>
  </si>
  <si>
    <t>The model correctly decomposes the input 'Dime el consumo del horno ayer y luego dime si fue anormal' into two independent requests, 'Obtener consumo energético del horno ayer' and 'Determinar si el consumo del horno ayer fue anormal', without inventing information (A1, A2). The inferred intentions align perfectly with the Expected Output (A3). Both requests are correctly classified into their respective scenarios: 'consumo_basico' for the consumption query and 'deteccion_anomalias_tendencias' for the anomaly detection (B1). The 'notas' field clearly and coherently explains the scenario assignments (A4).</t>
  </si>
  <si>
    <t>The model correctly decomposes the input into two distinct requests and accurately interprets their intentions, aligning with the Expected Output for 'Consulta del consumo de aire acondicionado ayer' and 'Evaluación de la responsabilidad personal' (A1, A2, A3). The first request is also correctly classified as 'consumo_basico'. However, the second request is incorrectly classified as 'prediccion_estimacion' when the Expected Output correctly identifies it as 'entrada_inadmisible', indicating a failure in scenario assignment (B1). The 'notas' field, while coherent with the identified requests, does not explicitly state the 'out of domain' nature of the second request as clearly as the Expected Output.</t>
  </si>
  <si>
    <t>The model successfully decomposes the input into two independent requests: 'Obtener el consumo mensual del ventilador' and 'Identificar tendencias en el consumo del ventilador', without inventing information (A1, A2). The inferred intentions align closely with the Expected Output (A3). Both requests are correctly classified into their respective scenarios, 'consumo_basico' and 'deteccion_anomalias_tendencias', matching the Expected Output (B1). The 'notas' field clearly explains the scenario assignments, demonstrating coherence (A4). The only minor difference is the slightly more verbose 'notas' compared to the Expected Output, but it is still accurate and clear.</t>
  </si>
  <si>
    <t>The model fails to correctly decompose the input into individual, independent requests (A1). The input 'Primero quiero saber cuánto consumió mi casa este mes y después si aumentó respecto al mes pasado' clearly indicates two distinct requests, but the actual output combines them into a single request. This leads to an incorrect interpretation of the input's natural language (A3) compared to the expected output, which correctly separates the consultation and comparison. Consequently, the single assigned scenario 'consumo_basico' (B1) is insufficient to cover both aspects of the original user intent.</t>
  </si>
  <si>
    <t>The model fails to correctly decompose the input into individual, independent requests (A1). The first request in the Actual Output, 'Determinar el consumo de aire acondicionado esta semana y compararlo con la semana pasada.', is a compound request that combines two distinct actions, unlike the Expected Output which separates 'Consultar el consumo energético...' and 'Comparar el consumo energético...'. The second request, 'Obtener datos puntuales del consumo de aire acondicionado de esta semana y la semana pasada.', is a prerequisite rather than a primary, independent user intention. This indicates a significant shortcoming in interpreting the input's natural language and aligning with the Expected Output's decomposition (A3). The 'notas' field also summarizes the original input rather than reflecting the model's specific, flawed decomposition (A4).</t>
  </si>
  <si>
    <t>The model failed to correctly decompose the input 'Dime cuánto consumió la lavadora el lunes y luego compárala con el martes.' into individual, independent requests (A1). It produced a single, combined request, whereas the Expected Output correctly identified two distinct intentions: a consultation for Monday's consumption and a subsequent comparison with Tuesday's consumption. This also led to an incorrect interpretation of the input's natural language (A3) and a missed scenario ('consumo_basico') that was present in the Expected Output's decomposition (B1).</t>
  </si>
  <si>
    <t>The model failed to decompose the input into all individual, independent intentions (A1). It correctly identified and classified the first intention, 'Consulta del consumo de energía del televisor ayer' as 'consumo_basico', and its reasoning was coherent. However, it completely missed the second, independent intention from the input, 'dime si debería cambiar de carrera profesional', which was present in the Expected Output. This omission represents a significant failure in processing the full user request.</t>
  </si>
  <si>
    <t>The Actual Output correctly identifies the two main intentions from the Input: obtaining consumption data and comparing consumption data. Both intentions are classified into the correct scenarios ('consumo_basico' and 'comparacion_consumos' respectively), aligning with B1. The output does not invent information (A2) and the 'notas' field demonstrates internal coherence (A4). However, the decomposition of the first intention ('Obtener consumo de energía de la nevera ayer y del sábado pasado.') is less granular than the Expected Output, which isolates 'Consultar el consumo energético de la nevera durante el día de ayer' as a more individual intention (A1). This minor difference in decomposition granularity prevents a perfect score, but the overall correctness and classification are strong.</t>
  </si>
  <si>
    <t>The model correctly decomposes the input into two requests and assigns the correct scenarios (B1). However, it invents information not explicitly provided in the input (A2) by over-specifying timeframes. For the first request, 'Calcular el consumo total de la casa en el año pasado y en el año actual' adds 'en el año pasado y en el año actual' which is not directly implied by 'consumo total de la casa'. Similarly, for the second request, 'Determinar si el consumo total de la casa ha aumentado en el año pasado' specifies 'en el año pasado' when the input simply states 'en el año', differing from the 'tendencia anual' in the expected output. This leads to an incorrect interpretation of the input's natural language (A3), making the semantic quality insufficient.</t>
  </si>
  <si>
    <t>The model correctly decomposes the input into two independent requests and does not invent information (A1, A2). The scenario classification for both requests is accurate and aligns with the expected output (B1). The 'notas' field is clear and coherent with the identified requests (A4). However, the actual output's second request, 'Analizar anomalías en el consumo del aire acondicionado', is slightly less precise than the expected output, as it omits the temporal context 'la semana pasada' which is implied by the input for the anomaly analysis (A3).</t>
  </si>
  <si>
    <t>The model correctly decomposes the input into four independent intentions, aligning with the Expected Output (A1). It does not invent any information (A2). All four intentions are correctly classified into their respective scenarios ('consumo_basico', 'comparacion_consumos', 'deteccion_anomalias_tendencias') according to the Expected Output (B1). The model also correctly infers implicit intentions, such as the 'ayer' context for all relevant requests (A3). The 'notas' field provides a clear and consistent summary of the identified requests and their context, demonstrating strong internal coherence (A4). The phrasing of the 'solicitud' fields, while accurate in intent, is slightly less formal than the Expected Output (e.g., 'Knew cuanto consumió' instead of 'Consultar el consumo energético'), which is a minor stylistic point but does not detract from the correctness of the decomposition or classification.</t>
  </si>
  <si>
    <t>The model correctly decomposes the input into two distinct requests and does not invent information (A1, A2). The interpretation of the user's intentions is largely correct, though the phrasing 'Consumir consumo energético' for the first request is less precise than 'Consultar el consumo energético' (A3). However, the model incorrectly assigns the first request ('Consumir consumo energético del PC esta semana') to the 'comparacion_consumos' scenario; it should be 'consumo_basico' as it's a basic query for consumption data, not a comparison (B1). The 'notas' field is coherent with the model's incorrect classification, stating the request fits 'comparacion_consumos' due to comparison, which only applies to the second part of the decomposed request (A4). This aligns with the rubric's 5-7 range for models that correctly decompose and interpret but misclassify one or more requests.</t>
  </si>
  <si>
    <t>The model correctly decomposes the input into two independent requests (A1) and does not invent information not deducible from the input (A2). Both requests are accurately classified into their respective scenarios, 'consumo_basico' and 'deteccion_anomalias_tendencias' (B1), and the 'notas' field is clear and coherent (A4). The only minor shortcoming is that the first request's description, 'Determinar el consumo de energía del PC ayer y su tendencia actual', is slightly broader than the specific '¿Cuánto consumió mi PC ayer?' part of the input, affecting the precision of interpretation (A3) compared to the Expected Output.</t>
  </si>
  <si>
    <t>The model correctly identifies the two main intentions from the input: obtaining consumption and comparing consumption. It also assigns appropriate scenarios ('consumo_basico' and 'comparacion_consumos') for its own decomposition. However, it fails to decompose the initial request 'Obtén el consumo del televisor ayer y hoy' into two individual, independent requests for yesterday's and today's consumption, as demonstrated by the Expected Output. This less granular decomposition means criteria A1 (individual, independent requests) and A3 (correct interpretation of natural language) are not fully met, indicating insufficient semantic quality.</t>
  </si>
  <si>
    <t>The model correctly decomposes the input 'Quiero el consumo del ventilador ayer, del PC hoy y una comparación entre ambos' into three distinct and independent intentions. It accurately classifies each intention into the correct scenario ('consumo_basico' for individual consumption requests and 'comparacion_consumos' for the comparison), aligning perfectly with the Expected Output. The 'notas' field provides a clear and consistent explanation for these classifications, demonstrating strong internal coherence and fulfilling all criteria for a top score.</t>
  </si>
  <si>
    <t>The model correctly decomposes the input into three independent requests (A1) and does not invent any information (A2). All identified scenarios ('consumo_basico', 'comparacion_consumos', 'deteccion_anomalias_tendencias') are correctly assigned according to the expected output (B1). The 'notas' field is clear and coherent with the requests (A4). The interpretation of the input is largely correct (A3), but the third request's 'solicitud' in the actual output ('¿Hubo algún pico raro en el consumo?') is slightly less explicit in inferring the relevant months (octubre y noviembre) compared to the expected output, which explicitly includes them for anomaly detection. This minor difference in inferring implicit details prevents a perfect score.</t>
  </si>
  <si>
    <t>The model fails significantly in decomposing the input '¿Cuánto consumieron la nevera y el televisor ayer y cuál fue mayor?' into individual intentions (A1). It treats the entire complex query as a single request, whereas the Expected Output correctly identifies three distinct intentions: two consumption queries and one comparison query. Consequently, it incorrectly classifies the combined request solely as 'consumo_basico', missing the 'comparacion_consumos' scenario (B1) for the 'cuál fue mayor?' part. The reasoning in the 'notas' field is also incomplete (A4), as it only justifies the 'consumo_basico' aspect and does not account for the comparison element present in the original input.</t>
  </si>
  <si>
    <t>The model correctly decomposes the input 'Dime el consumo del horno este mes, analiza si hay anomalías y dime si va en aumento' into three independent requests, aligning with A1. It does not invent any information (A2). The inferred intentions for each request, such as 'Determinar el consumo del horno este mes' and 'Analizar si hay anomalías', closely match the Expected Output's interpretation (A3). Furthermore, all three requests are correctly classified into their respective scenarios ('consumo_basico' and 'deteccion_anomalias_tendencias'), which aligns perfectly with the Expected Output and satisfies B1. The 'notas' field is clear and coherent with the identified requests (A4), although slightly more verbose than the Expected Output, it accurately reflects the analysis.</t>
  </si>
  <si>
    <t>The model correctly decomposes the input into three independent requests, accurately inferring the user's intentions without inventing information (A1, A2, A3). The assigned scenarios ('consumo_basico', 'deteccion_anomalias_tendencias') for each request are appropriate and align with the implied context (B1). The 'notas' field provides a clear and coherent summary of the requests (A4). The only minor shortcoming is a typo ('Consumción' instead of 'Consumo') in the first request, and slightly less detailed phrasing compared to the expected output, but this does not hinder the overall correctness of the decomposition or classification.</t>
  </si>
  <si>
    <t>El modelo descompone correctamente la solicitud del usuario en tres intenciones distintas, sin inventar información. Cada intención ('¿Cuánto consumió el aire acondicionado ayer?', 'Cómo se compara el consumo de ayer con la semana pasada?', 'Qué tendencia tiene el consumo de aire acondicionado?') está correctamente clasificada en su escenario correspondiente ('consumo_basico', 'comparacion_consumos', 'deteccion_anomalias_tendencias'), alineándose perfectamente con el Expected Output. Además, la sección 'notas' es clara y consistente con las solicitudes identificadas y sus clasificaciones, demostrando una excelente coherencia interna.</t>
  </si>
  <si>
    <t>The model correctly decomposes the input into three intentions (A1) and does not invent information (A2). It correctly classifies the first two intentions as 'consumo_basico' and 'comparacion_consumos' (B1). However, it incorrectly classifies the third intention, 'Establecer si el consumo de ambas máquinas permite ahorrar para viajar', as 'prediccion_estimacion' instead of 'entrada_inadmisible' as per the Expected Output (B1 error). Additionally, the 'notas' field contains a minor internal inconsistency by stating 'Se han identificado dos solicitudes' while proceeding to describe three distinct requests (A4).</t>
  </si>
  <si>
    <t>The model correctly decomposes the input into three distinct requests and accurately classifies all three requests into their respective scenarios (`consumo_basico`, `comparacion_consumos`, `deteccion_anomalias_tendencias`), aligning with the `Expected Output` for scenario assignment. The `notas` field is also coherent. However, in the third request, the `Actual Output` adds 'a largo plazo' to 'Analizar la tendencia del consumo de aire acondicionado', which is not explicitly present in the `Input` ('analiza la tendencia') and is omitted in the `Expected Output`. This constitutes inventing information not directly deducible from the `Input` (A2) and a slight deviation in interpretation from the `Expected Output` (A3), preventing the criteria A1-A4 from being fully correct and thus placing the score in the 0-4 range as per the rubric.</t>
  </si>
  <si>
    <t>The model correctly decomposes the input into three distinct requests (A1) and assigns appropriate scenarios (B1). However, it fails to fully carry over the implicit context from the input to all decomposed requests (A3). Specifically, for the second request, it omits 'energético' and 'durante el fin de semana', and for the third request, it omits 'de la lavadora y el horno' and 'durante el fin de semana'. This loss of detail means the interpretation of the natural language is not fully aligned with the Expected Output. Additionally, the 'notas' field (A4) is redundant and less coherent than expected, contributing to insufficient semantic quality.</t>
  </si>
  <si>
    <t xml:space="preserve"> {'@1': {'solicitud': 'Consulta el consumo total de energía eléctrica de la casa durante el mes de marzo de 2024.', 'escenario': 'consumo_basico'}} | notas: La solicitud del usuario se refiere a la consulta de un valor de consumo energético histórico ("consumo total de la casa") para un periodo de tiempo explícito ("marzo de 2024"). La intención es acceder a un dato cuantitativo específico sin realizar comparaciones, análisis de patrones o estimaciones futuras. Por lo tanto, se clasifica bajo el escenario 'consumo_basico'.</t>
  </si>
  <si>
    <t xml:space="preserve"> {'@1': {'solicitud': 'Proporciona el consumo energético de mi PC, mi monitor y mi router correspondiente al día de ayer.', 'escenario': 'consumo_basico'}} | notas: La solicitud del usuario ("¿Cuánta energía gastaron mi PC, mi monitor y mi router ayer?") busca acceder a datos históricos específicos de consumo energético para tres dispositivos concretos en un intervalo temporal definido ("ayer"). No solicita comparaciones entre ellos ni análisis de tendencias, simplemente los valores cuantitativos individuales. Por lo tanto, se encaja en el escenario de 'consumo_basico', ya que el objetivo es consultar valores registrados sin realizar comparaciones analíticas, análisis de patrones ni inferencias.</t>
  </si>
  <si>
    <t xml:space="preserve"> {'@1': {'solicitud': 'Consultar el consumo energético total del dispositivo computador para el día de hoy.', 'escenario': 'consumo_basico'}} | notas: La solicitud del usuario busca un valor específico de consumo energético ("cuánta energía gastó") para un dispositivo particular ("mi computador") dentro de un intervalo de tiempo claramente definido ("hoy"). No se solicita comparar con otros dispositivos ni se buscan patrones o anomalías, por lo que la intención se alinea directamente con la consulta de datos históricos puntuales. El sistema admite este tipo de solicitudes bajo el escenario 'consumo_basico', descrito para consultas de valores registrados con un intervalo temporal explícito.</t>
  </si>
  <si>
    <t xml:space="preserve"> {'@1': {'solicitud': 'Consultar el consumo energético de la nevera durante el día de ayer.', 'escenario': 'consumo_basico'}, '@2': {'solicitud': 'Consultar el consumo energético de la lavadora durante el día de ayer.', 'escenario': 'consumo_basico'}} | notas: Se han identificado dos solicitudes independientes en el prompt del usuario.
1. **Solicitud 1 (@1)**: "consumo de mi nevera ayer".
   - **Intención**: Consultar un valor cuantitativo (consumo) de un dispositivo específico (nevera) en un periodo temporal explícito (ayer).
   - **Escenario elegido**: `consumo_basico`.
   - **Razonamiento**: La consulta pide un valor histórico de consumo sin realizar comparaciones, análisis de patrones ni estimaciones futuras. Cumple con los criterios de la descripción del escenario "consultar valores de consumo energético ya registrados" y "respuesta esperada es un valor cuantitativo".
2. **Solicitud 2 (@2)**: "consumo de mi lavadora ayer".
   - **Intención**: Consultar un valor cuantitativo (consumo) de un dispositivo específico (lavadora) en un periodo temporal explícito (ayer).
   - **Escenario elegido**: `consumo_basico`.
   - **Razonamiento**: Idéntico al anterior. Se solicita un dato histórico puntual sin análisis comparativo o inferencial adicional.
Ambas solicitudes son autocontenidas y se clasifican correctamente en el escenario `consumo_basico` ya que su objetivo es obtener datos históricos específicos.</t>
  </si>
  <si>
    <t xml:space="preserve"> {'@1': {'solicitud': 'Consultar el consumo energético del aire acondicionado durante el fin de semana pasado (sábado y domingo anterior a la fecha actual).', 'escenario': 'consumo_basico'}} | notas: La consulta del usuario solicita valores de consumo energético ya registrados para un dispositivo específico (aire acondicionado) dentro de un intervalo temporal explícito y ya pasado ("fin de semana pasado").
Se clasificó en el escenario **consumo_basico** porque:
1.  La intención es acceder a datos puntuales o históricos ("Cuánto consumió").
2.  Incluye un periodo de tiempo claramente inferible (el fin de semana anterior).
3.  No solicita comparar con otros periodos o dispositivos, ni identificar anomalías, ni realizar predicciones futuras; simplemente solicita el valor del consumo registrado.</t>
  </si>
  <si>
    <t xml:space="preserve"> {'@1': {'solicitud': 'Dime el consumo de mi lavadora el lunes pasado.', 'escenario': 'consumo_basico'}} | notas: La solicitud del usuario es "Dime el consumo de mi lavadora el lunes pasado".
1.  **Análisis de intención:** El usuario pide un valor de consumo específico ("consumo de mi lavadora") para una fecha concreta ("el lunes pasado"). No solicita comparar, predecir ni detectar anomalías, solo consultar un dato histórico.
2.  **Verificación de escenarios:**
    *   **`consumo_basico`:** Se solicita un valor de consumo energético histórico para un dispositivo específico ("lavadora") dentro de un intervalo temporal explícito ("lunes pasado"). La respuesta esperada es un valor cuantitativo.
    *   **`comparacion_consumos`:** El usuario no compara dos o más consumos.
    *   **`deteccion_anomalias_tendencias`:** El usuario no menciona picos, anomalías ni tendencias.
    *   **`prediccion_estimacion`:** El usuario no solicita estimaciones futuras ni escenarios hipotéticos.
    *   **`entrada_inadmisible`:** La consulta está relacionada con el consumo energético del hogar y es clara.
3.  **Conclusión:** La solicitud encaja perfectamente en la definición de `consumo_basico` ("Solicitudes cuya intención principal es consultar valores de consumo energético ya registrados... dentro de un intervalo temporal explícito o claramente inferible").</t>
  </si>
  <si>
    <t xml:space="preserve"> {'@1': {'solicitud': 'Proporciona el consumo energético del ventilador correspondiente al día completo del día anterior al actual.', 'escenario': 'consumo_basico'}} | notas: El usuario solicita explícitamente el consumo energético de un dispositivo específico ("el ventilador") para un periodo de tiempo determinado ("el día de ayer"). Esta consulta se ajusta perfectamente al escenario 'consumo_basico', ya que el objetivo es acceder a datos históricos cuantitativos de consumo para un intervalo temporal definido, sin solicitar comparaciones, análisis de patrones, estimaciones futuras ni detección de anomalías.</t>
  </si>
  <si>
    <t xml:space="preserve"> {'@1': {'solicitud': '¿Cuánto consumió mi casa en junio, julio y agosto?', 'escenario': 'consumo_basico'}} | notas: El usuario solicita los valores de consumo energético histórico de su hogar para los meses de junio, julio y agosto. La consulta indica un periodo de tiempo explícito (tres meses del año) y la intención es acceder a los datos cuantitativos de consumo sin realizar comparaciones, análisis de patrones, inferencias ni estimaciones futuras. Por lo tanto, se enmarca dentro del escenario 'consumo_basico'.</t>
  </si>
  <si>
    <t xml:space="preserve"> {'@1': {'solicitud': 'Consulta del consumo energético total de la nevera durante el mes de enero.', 'escenario': 'consumo_basico'}} | notas: La solicitud del usuario es '¿Cuánto consumió mi nevera durante el mes de enero?'. Esta consulta solicita un valor cuantitativo histórico (el consumo total) para un dispositivo específico (la nevera) dentro de un intervalo temporal explícito (el mes de enero). No solicita comparaciones, análisis de patrones ni predicciones, simplemente el dato registrado. Por lo tanto, se categoriza bajo el escenario 'consumo_basico', ya que encaja perfectamente con la descripción de consultas de valores de consumo energético ya registrados con un intervalo temporal definido.</t>
  </si>
  <si>
    <t xml:space="preserve"> {'@1': {'solicitud': 'Proporcionar el consumo energético registrado de la nevera durante el día del domingo (o el último domingo disponible si el día exacto no se puede especificar).', 'escenario': 'consumo_basico'}, '@2': {'solicitud': 'Proporcionar el consumo energético registrado de la lavadora durante el día del domingo (o el último domingo disponible si el día exacto no se puede especificar).', 'escenario': 'consumo_basico'}, '@3': {'solicitud': 'Proporcionar el consumo energético registrado de la secadora durante el día del domingo (o el último domingo disponible si el día exacto no se puede especificar).', 'escenario': 'consumo_basico'}} | notas: El usuario solicita valores de consumo energético ("Quiero saber el consumo") para tres dispositivos específicos (nevera, lavadora, secadora) dentro de un intervalo temporal claro ("el domingo"). Aunque se mencionan varios dispositivos, el usuario no utiliza términos comparativos explícitos (como "comparar", "más que", "diferencia entre"), sino que parece solicitar los datos individuales para cada uno. Por lo tanto, se mapea la solicitud al escenario `consumo_basico`. Se crean tres solicitudes independientes (@1, @2, @3) porque cada una debe ser autocontenida y corresponde a un dispositivo distinto.</t>
  </si>
  <si>
    <t xml:space="preserve"> {'@1': {'solicitud': 'Consultar el consumo energético del televisor específico durante el periodo de la noche del día anterior.', 'escenario': 'consumo_basico'}} | notas: La solicitud del usuario pregunta explícitamente por valores de consumo energético ("cuánto consumió") para un dispositivo específico ("mi televisor") dentro de un intervalo temporal claro ("ayer en la noche"). No se piden comparaciones, inferencias de patrones, ni predicciones futuras, por lo que encaja perfectamente en la definición de 'consumo_basico'.</t>
  </si>
  <si>
    <t xml:space="preserve"> {'@1': {'solicitud': 'Consultar el consumo energético del televisor durante el sábado pasado.', 'escenario': 'consumo_basico'}, '@2': {'solicitud': 'Consultar el consumo energético del computador durante el sábado pasado.', 'escenario': 'consumo_basico'}} | notas: Se identificó que el usuario solicita valores de consumo energético históricos para dos dispositivos específicos (televisor y computador) en un periodo de tiempo explícito ("sábado pasado"). Dado que la intención principal es acceder a datos puntuales sin realizar comparaciones ni análisis complejos, se categoriza bajo el escenario 'consumo_basico'. Se separa en dos solicitudes independientes (@1 y @2) porque cada una es autocontenida y corresponde a un dispositivo distinto.</t>
  </si>
  <si>
    <t xml:space="preserve"> {'@1': {'solicitud': 'Consulta el consumo de energía del televisor del usuario correspondiente al día de ayer.', 'escenario': 'consumo_basico'}, '@2': {'solicitud': 'Determina si el consumo de energía del televisor fue moralmente correcto.', 'escenario': 'entrada_inadmisible'}} | notas: Para la primera solicitud '@1', el usuario solicita explícitamente un valor de consumo ("consumo de mi televisor") y especifica un intervalo temporal claro ("ayer"). Esto se ajusta perfectamente al escenario 'consumo_basico', ya que la intención es consultar un dato histórico de consumo sin análisis comparativo, de patrones ni estimaciones.
Para la segunda solicitud '@2', el usuario pregunta sobre la moralidad del consumo ("si eso fue moralmente correcto"). Este tipo de juicio de valor no pertenece al dominio del consumo energético ni es una acción que el sistema pueda procesar. Por lo tanto, se clasifica como 'entrada_inadmisible'.</t>
  </si>
  <si>
    <t xml:space="preserve"> {'@1': {'solicitud': 'Consultar el consumo energético registrado del horno durante el día 15 de noviembre de 2023.', 'escenario': 'consumo_basico'}} | notas: La solicitud del usuario pregunta específicamente por los valores de consumo energético históricos de un dispositivo (horno) para un intervalo temporal explícito (15 de noviembre). Esto coincide directamente con el escenario 'consumo_basico', el cual se utiliza para consultas puntuales de datos históricos sin análisis comparativo ni inferencias futuras.</t>
  </si>
  <si>
    <t xml:space="preserve"> {'@1': {'solicitud': 'Obtener el consumo energético total de la casa durante el día lunes.', 'escenario': 'consumo_basico'}, '@2': {'solicitud': 'Obtener el consumo energético total de la casa durante el día martes.', 'escenario': 'consumo_basico'}} | notas: El usuario solicita valores puntuales de consumo ("cuánto consumió") para dos días diferentes (lunes y martes).
1.  **Análisis de la intención:** La consulta se centra en acceder a datos históricos específicos sin solicitar comparaciones, análisis de patrones ni predicciones. Los términos clave son "consumió" (referencia al pasado) y la identificación explícita de días ("lunes", "martes").
2.  **Evaluación de escenarios:**
    *   **Consumo básico:** Se selecciona este escenario para ambas solicitudes. La definición de "Solicitudes cuya intención principal es consultar valores de consumo energético ya registrados" se ajusta perfectamente. Además, el criterio "La consulta incluye un periodo de tiempo explícito" (días de la semana) y "La respuesta esperada es un valor cuantitativo único" (kWh por día) se cumplen.
    *   **Comparación de consumos:** Aunque el usuario pregunta por dos días, no solicita explícitamente compararlos (ej. "¿cuál consumió más?" o "cuánta diferencia hay"). Por lo tanto, se priorizan dos solicitudes de tipo básico independientes.
    *   **Otros escenarios:** No aplican, ya que no hay indicios de detección de anomalías, tendencias ni predicciones futuras.
Se genera un diccionario con dos claves (`@1` y `@2`) porque son dos consultas de consumo básico independientes y autocontenidas solicitadas en el mismo mensaje.</t>
  </si>
  <si>
    <t xml:space="preserve"> {'@1': {'solicitud': 'Consultar el consumo de energía total de la casa durante el día de ayer.', 'escenario': 'consumo_basico'}} | notas: La solicitud del usuario pregunta "¿Qué tan feliz estuvo mi casa ayer con el consumo de energía?". El uso de la palabra "feliz" es una metáfora o antropomorfismo que el sistema debe interpretar como una consulta sobre la adecuación o el nivel de consumo (probablemente bajo o eficiente).
Dado que la consulta se refiere explícitamente al consumo de energía de "mi casa" y menciona un tiempo específico ("ayer"), esta solicitud encaja perfectamente en el escenario de **consumo_basico**. La intención principal es consultar un valor histórico registrado dentro de un intervalo temporal claro, sin solicitar comparaciones, detección de anomalías ni predicciones futuras. La respuesta esperada es un valor cuantitativo del consumo del día anterior.</t>
  </si>
  <si>
    <t xml:space="preserve"> {'@1': {'solicitud': 'Consulta el consumo energético del ventilador para la semana actual (desde el inicio de la semana en curso hasta el día actual).', 'escenario': 'consumo_basico'}, '@2': {'solicitud': 'Consulta el consumo energético de la lavadora para la semana anterior (completa, desde el lunes hasta el domingo de la semana previa).', 'escenario': 'consumo_basico'}} | notas: El prompt del usuario contiene dos solicitudes explícitas que son independientes entre sí:
1. "consumo del ventilador esta semana": Se refiere a obtener datos históricos de consumo para un dispositivo específico (ventilador) en un intervalo temporal definido (esta semana). No implica comparaciones, análisis de patrones ni estimaciones futuras, por lo que se clasifica bajo el escenario 'consumo_basico'.
2. "el de la lavadora la semana pasada": También es una consulta de datos históricos para un dispositivo específico (lavadora) en un intervalo temporal claro (semana anterior). Al igual que la anterior, se centra únicamente en la retrievación de valores cuantitativos sin análisis adicional, clasificándose también como 'consumo_basico'.
Se generan dos solicitudes separadas (@1 y @2) ya que cada una requiere un foco de datos distinto y deben ser autocontenidas, garantizando que el sistema pueda procesar cada consulta de forma aislada.</t>
  </si>
  <si>
    <t xml:space="preserve"> {'@1': {'solicitud': 'Consulta el consumo energético total (en kWh) registrado para la vivienda completa durante el periodo de tiempo correspondiente a la semana pasada.', 'escenario': 'consumo_basico'}} | notas: La solicitud del usuario es "Dime cuántos kWh consumió mi casa la semana pasada.".
1.  **Análisis de la Intención**: El usuario pide un valor numérico específico ("cuántos kWh") para un periodo de tiempo definido ("la semana pasada"). La palabra clave "consumió" indica una acción pasada, lo que implica que se requiere acceder a datos históricos registrados.
2.  **Evaluación de Escenarios**:
    *   **`consumo_basico`**: El escenario de `consumo_basico` se define para solicitudes cuya intención es "consultar valores de consumo energético ya registrados" dentro de un "intervalo temporal explícito o claramente inferible". La respuesta esperada es un "valor cuantitativo único". La solicitud del usuario encaja perfectamente en esta descripción. "La semana pasada" es un intervalo temporal inferible, y se solicita un valor cuantitativo (kWh).
    *   **`comparacion_consumos`**: No se aplica, ya que no se solicita comparar con otro dispositivo, zona o periodo distinto.
    *   **`deteccion_anomalias_tendencias`**: No se aplica, ya que el usuario no menciona anomalías, picos ni tendencias; solo busca un dato total.
    *   **`prediccion_estimacion`**: No se aplica, ya que se refiere a consumo pasado (histórico), no a estimaciones futuras.
    *   **`entrada_inadmisible`**: No se aplica, la solicitud está claramente dentro del dominio del consumo energético del hogar.
3.  **Conclusión**: La solicitud se categoriza bajo el escenario **`consumo_basico`**.</t>
  </si>
  <si>
    <t xml:space="preserve"> {'@1': {'solicitud': 'Consultar el consumo energético específico del PC ayer', 'escenario': 'consumo_basico'}, '@2': {'solicitud': 'Detectar si el consumo del PC ha mostrado un aumento sostenido durante el mes actual', 'escenario': 'deteccion_anomalias_tendencias'}} | notas: El prompt del usuario contiene dos solicitudes claramente diferenciadas que deben procesarse por separado para garantizar respuestas precisas.
Para la primera parte del prompt: '¿Cuánto consumió mi PC ayer?'.
- Esta es una consulta directa de datos históricos puntuales (consumo de un dispositivo en un día específico).
- Requiere un valor cuantitativo (kWh) sin análisis de patrones ni comparaciones.
- Se ajusta perfectamente al escenario **consumo_basico**, definido para consultas de valores registrados en un intervalo temporal explícito.
Para la segunda parte del prompt: '...y ha venido aumentando su consumo este mes?'.
- Aquí el usuario no pide un valor numérico específico, sino un análisis sobre el comportamiento del consumo (tendencia de aumento).
- Implica detectar un patrón de comportamiento (crecimiento sostenido) a lo largo de un periodo (el mes).
- Se ajusta al escenario **deteccion_anomalias_tendencias**, enfocado en identificar tendencias sostenidas o cambios de hábitos en el consumo energético.</t>
  </si>
  <si>
    <t xml:space="preserve"> {'@1': {'solicitud': 'Consulta el consumo energético del dispositivo aire acondicionado registrado durante la franja horaria de la mañana (por ejemplo, de 06:00 a 12:00 horas) del día inmediatamente anterior.', 'escenario': 'consumo_basico'}, '@2': {'solicitud': 'Consulta el consumo energético del dispositivo aire acondicionado registrado durante la franja horaria de la noche (por ejemplo, de 18:00 a 23:59 horas) del día inmediatamente anterior.', 'escenario': 'consumo_basico'}} | notas: Se ha segmentado la solicitud del usuario en dos solicitudes independientes (@1 y @2) para las franjas horarias de "mañana" y "noche" respectivamente, ya que deben devolver datos puntuales distintos y autocontenidos.
Se ha asignado el escenario 'consumo_basico' a ambas solicitudes porque la intención principal es acceder a valores históricos de consumo energético (del aire acondicionado) para un periodo temporal explícito e inferible (ayer, mañana y noche) sin requerir comparaciones, análisis de patrones complejos ni estimaciones futuras.</t>
  </si>
  <si>
    <t xml:space="preserve"> {'@1': {'solicitud': 'Proporcionar el valor de consumo energético del aire acondicionado correspondiente al día completo inmediatamente anterior a la fecha actual.', 'escenario': 'consumo_basico'}, '@2': {'solicitud': 'Evaluar si el nivel de consumo energético del aire acondicionado registrado ayer es indicativo de un comportamiento de uso ineficiente o irresponsable.', 'escenario': 'deteccion_anomalias_tendencias'}} | notas: La entrada del usuario contiene dos solicitudes claras que deben ser separadas para un procesamiento preciso:
1. La primera parte ("Dime el consumo del aire acondicionado ayer") es una solicitud directa de acceso a datos históricos. Solicita un valor cuantitativo específico para un dispositivo en un intervalo temporal exacto (ayer). No implica comparación, predicción o análisis de patrones más allá de la obtención del dato crudo. Por lo tanto, se clasifica bajo el escenario **'consumo_basico'**.
2. La segunda parte ("y dime si eso significa que soy irresponsable") es una solicitud de análisis cualitativo. Busca interpretar un dato de consumo para determinar si representa una anomalía, un desperdicio o un comportamiento ineficiente. Requiere una evaluación basada en patrones o umbrales para juzgar la responsabilidad del uso energético. Esto se alinea con el objetivo de identificar comportamientos anómalos o ineficientes, por lo que se clasifica bajo el escenario **'deteccion_anomalias_tendencias'**.</t>
  </si>
  <si>
    <t xml:space="preserve"> {'@1': {'solicitud': 'Proporciona el consumo energético total de mi casa durante el mes de noviembre.', 'escenario': 'consumo_basico'}, '@2': {'solicitud': 'Compara el consumo energético total de mi casa entre el mes de octubre y el mes de noviembre, detallando las diferencias porcentuales o absolutas entre ambos periodos.', 'escenario': 'comparacion_consumos'}} | notas: El análisis del prompt del usuario revela dos intenciones claras y secuenciales:
1. **Primera intención (@1):** El usuario pregunta explícitamente por un valor de consumo ("Cuánto consumió mi casa") para un periodo específico ("en noviembre"). Esto encaja perfectamente con el escenario `consumo_basico`, ya que se solicita un dato histórico cuantitativo para un intervalo temporal definido sin compararlo con otros datos.
2. **Segunda intención (@2):** La segunda parte de la frase ("cómo se compara con octubre") introduce explícitamente una comparación entre dos periodos distintos (octubre y noviembre). Esta es la definición exacta del escenario `comparacion_consumos`, donde el objetivo es identificar diferencias entre consumos de periodos diferentes.
Se han separado en dos solicitudes independientes para mantener la autonomía de cada tarea, aunque la segunda depende lógicamente de la primera.</t>
  </si>
  <si>
    <t xml:space="preserve"> {'@1': {'solicitud': 'Consulta el consumo energético del televisor para el día de ayer.', 'escenario': 'consumo_basico'}, '@2': {'solicitud': 'Analiza el consumo histórico del televisor para detectar si presenta una tendencia de aumento sostenido.', 'escenario': 'deteccion_anomalias_tendencias'}} | notas: La solicitud del usuario se divide en dos partes claras que requieren tratamientos distintos. La primera parte, \"dime el consumo del televisor ayer\", solicita un dato histórico específico para un dispositivo en un intervalo temporal definido (ayer), lo cual corresponde directamente al escenario `consumo_basico`. La segunda parte, \"analiza si su consumo va en aumento\", requiere un análisis de patrones temporales para identificar una tendencia sostenida (crecimiento), lo cual es la definición del escenario `deteccion_anomalias_tendencias`.</t>
  </si>
  <si>
    <t xml:space="preserve"> {'@1': {'solicitud': 'Consultar el consumo energético total del hogar correspondiente al mes en curso.', 'escenario': 'consumo_basico'}, '@2': {'solicitud': 'Comparar el consumo energético total del mes en curso con el consumo del mes anterior para determinar si hubo un aumento.', 'escenario': 'comparacion_consumos'}} | notas: El prompt del usuario contiene dos intenciones claras y consecutivas.
1.  **Primera intención ("cuánto consumió mi casa este mes")**: Solicita un valor cuantitativo específico (consumo del mes en curso) sin solicitar comparaciones. Esto encaja perfectamente en el escenario `consumo_basico`, ya que busca acceder a datos puntuales registrados para un periodo de tiempo explícito ("este mes").
2.  **Segunda intención ("si aumentó respecto al mes pasado")**: Solicita explícitamente una comparación entre dos periodos de tiempo distintos ("mes en curso" vs "mes anterior"). Utiliza un término comparativo ("aumentó") y busca identificar una diferencia relativa. Por lo tanto, se categoriza bajo el escenario `comparacion_consumos`.
Se ha procedido a separar la solicitud en dos entradas independientes para asegurar que cada `solicitud` sea autocontenida y se asigne al escenario correcto según las reglas definidas.</t>
  </si>
  <si>
    <t xml:space="preserve"> {'@1': {'solicitud': 'Dime el consumo del aire acondicionado esta semana.', 'escenario': 'consumo_basico'}, '@2': {'solicitud': 'Compara el consumo del aire acondicionado de esta semana con el consumo de la semana pasada.', 'escenario': 'comparacion_consumos'}} | notas: El prompt del usuario contiene dos solicitudes claras y consecutivas que deben ser separadas para un procesamiento preciso.
1.  **Primera solicitud ("Dime el consumo del aire acondicionado esta semana")**:
    *   **Razonamiento**: Esta es una consulta directa para obtener un valor histórico de consumo energético para un dispositivo específico (aire acondicionado) dentro de un intervalo temporal definido (esta semana).
    *   **Escenario**: Se asigna a `consumo_basico`. La consulta se ajusta perfectamente a la definición de solicitudes cuya intención es consultar valores de consumo ya registrados sin análisis comparativo. La respuesta esperada es un valor cuantitativo o una serie de datos.
2.  **Segunda solicitud ("Compara el consumo del aire acondicionado de esta semana con el consumo de la semana pasada")**:
    *   **Razonamiento**: Esta instrucción contiene explícitamente el verbo "compara" y establece dos entidades a comparar (consumo de esta semana vs. consumo de la semana pasada). El objetivo es identificar la diferencia entre dos periodos.
    *   **Escenario**: Se asigna a `comparacion_consumos`. La consulta utiliza un término comparativo explícito y requiere el análisis de dos consumos distintos para determinar una diferencia o relación.</t>
  </si>
  <si>
    <t xml:space="preserve"> {'@1': {'solicitud': 'Proporcionar el consumo energético del horno durante el mes actual.', 'escenario': 'consumo_basico'}, '@2': {'solicitud': 'Analizar los datos de consumo del horno del mes actual para detectar comportamientos anómalos, picos de consumo o tendencias irregulares.', 'escenario': 'deteccion_anomalias_tendencias'}} | notas: La solicitud del usuario contiene dos intenciones claras y distintas. La primera parte, "Quiero el consumo del horno este mes", es una consulta directa de datos históricos para un dispositivo específico (el horno) dentro de un intervalo temporal explícito (el mes actual). Esta intención se alinea perfectamente con el escenario `consumo_basico`, cuyo objetivo es consultar valores de consumo ya registrados sin análisis comparativo o predictivo.
La segunda parte de la solicitud, "saber si hay alguna anomalía", introduce una intención analítica. El usuario no solo quiere los datos crudos, sino que solicita un análisis para identificar comportamientos irregulares o fuera de lo común. Esta es la definición principal del escenario `deteccion_anomalias_tendencias`, que se especializa en identificar picos, anomalías y tendencias a partir de datos históricos. Por lo tanto, se categorizan como dos solicitudes independientes bajo el mismo contexto de datos (consumo del horno del mes actual).</t>
  </si>
  <si>
    <t xml:space="preserve"> {'@1': {'solicitud': 'Consultar el consumo energético de la nevera para el día de ayer.', 'escenario': 'consumo_basico'}, '@2': {'solicitud': 'Comparar el consumo energético de la nevera entre el día de ayer y el sábado pasado.', 'escenario': 'comparacion_consumos'}} | notas: He segmentado la solicitud original en dos peticiones claras:
1. **@1**: Se identifica como `consumo_basico` porque el usuario solicita un valor de consumo específico ("mi nevera") para un intervalo temporal definido ("ayer"). No hay intención comparativa en esta parte, solo la necesidad de acceder a un dato histórico puntual.
2. **@2**: Se categoriza como `comparacion_consumos` porque la solicitud explícitamente pide comparar ("compáralo") dos conjuntos de datos consumidos en periodos de tiempo diferentes ("ayer" vs "sábado pasado"), buscando determinar diferencias entre ambos.</t>
  </si>
  <si>
    <t xml:space="preserve"> {'@1': {'solicitud': 'Proporcionar el consumo energético del ventilador para el día de ayer.', 'escenario': 'consumo_basico'}, '@2': {'solicitud': 'Detectar si existieron anomalías, definidas como picos de consumo irregulares o fuera de lo habitual, en el consumo energético general del hogar durante el día de ayer.', 'escenario': 'deteccion_anomalias_tendencias'}} | notas: La solicitud del usuario contiene dos intenciones claras y diferenciadas que deben ser tratadas por separado:
1. **Primera intención ("saber el consumo del ventilador")**: Se ha mapeado al escenario **consumo_basico**. El usuario solicita un valor de consumo energético específico para un dispositivo (el ventilador) dentro de un intervalo temporal explícito ("ayer"). Esta consulta se ajusta perfectamente a la definición de este escenario, ya que busca un dato cuantitativo histórico sin implicar comparaciones, análisis de patrones complejos o predicciones.
2. **Segunda intención ("si hubo algún pico extraño ayer")**: Se ha mapeado al escenario **deteccion_anomalias_tendencias**. La frase "pico extraño" es un indicador semántico directo de una anomalía o un comportamiento irregular en el consumo energético. El sistema está diseñado para identificar tales patrones a partir de datos históricos, lo cual es exactamente lo que solicita el usuario para el día de ayer.
Se ha desglosado la solicitud en dos objetos independientes para cumplir con el requisito de que cada solicitud sea autocontenida y para permitir que el sistema procese cada intención a través de su pipeline correspondiente.</t>
  </si>
  <si>
    <t xml:space="preserve"> {'@1': {'solicitud': 'Consulta del consumo energético del aire acondicionado durante la semana anterior.', 'escenario': 'consumo_basico'}, '@2': {'solicitud': 'Análisis para detectar anomalías, picos de consumo o comportamientos irregulares en el historial de consumo del aire acondicionado correspondiente a la semana pasada.', 'escenario': 'deteccion_anomalias_tendencias'}} | notas: El prompt del usuario contiene dos solicitudes claras y secuenciales que deben ser procesadas de forma independiente:
1. **Primera solicitud (`@1`)**: "Dime el consumo del aire acondicionado la semana pasada"
   - Esta es una consulta directa de datos históricos cuantitativos.
   - El período temporal está explícitamente definido ("la semana pasada").
   - No implica comparación, análisis de patrones, estimación ni inferencia, solo la devolución de valores registrados.
   - Por lo tanto, se mapea al escenario `consumo_basico`.
2. **Segunda solicitud (`@2`)**: "analiza si hubo anomalías"
   - El verbo "analiza" indica un procesamiento de los datos para extraer información diagnóstica.
   - El foco es la identificación de "anomalías", que es la definición principal del escenario `deteccion_anomalias_tendencias`.
   - Esta acción requiere el previo acceso a los datos (obtenidos en la primera solicitud) para determinar desviaciones o comportamientos inusuales, por lo que es una solicitud de análisis y no de mero listado de datos.
Las solicitudes se han separado en dos diccionarios distintos porque, aunque se refieren al mismo dispositivo y periodo, representan acciones funcionales distintas: una de recuperación de datos (`consumo_basico`) y otra de diagnóstico (`deteccion_anomalias_tendencias`).</t>
  </si>
  <si>
    <t xml:space="preserve"> {'@1': {'solicitud': 'Consulta el consumo energético específico de mi nevera para el día de ayer.', 'escenario': 'consumo_basico'}, '@2': {'solicitud': 'Compara el consumo energético de mi nevera con el de mi horno para determinar cuál de los dos dispositivos consumió más energía.', 'escenario': 'comparacion_consumos'}} | notas: El prompt del usuario contiene dos solicitudes claramente diferenciadas que deben ser procesadas por separado:
1.  **Solicitud 1 ("¿Cuánto consumió mi nevera ayer?")**: Esta es una consulta directa para obtener un valor histórico de consumo (`consumo_basico`) de un solo dispositivo ("nevera") dentro de un intervalo temporal específico ("ayer"). El objetivo es obtener un dato cuantitativo, sin comparaciones ni análisis complejos, por lo que se clasifica bajo el escenario `consumo_basico`.
2.  **Solicitud 2 ("¿...cuál consumió más, la nevera o el horno?")**: Esta parte de la pregunta implica una acción comparativa entre dos dispositivos específicos ("nevera" y "horno") para determinar cuál tuvo un mayor consumo. La intención principal es la comparación de valores, lo que encaja perfectamente en el escenario `comparacion_consumos`.
Ambas solicitudes son independientes y autocontenidas, por lo que se segmentan en dos entries (`@1` y `@2`).</t>
  </si>
  <si>
    <t xml:space="preserve"> {'@1': {'solicitud': "Proporciona el consumo energético mensual (kWh) del dispositivo especificado 'ventilador', correspondiente al mes natural actual, incluyendo un detalle desglosado por día si está disponible.", 'escenario': 'consumo_basico'}, '@2': {'solicitud': "Analiza la serie temporal del consumo histórico del dispositivo 'ventilador' y determina si presenta una tendencia de crecimiento sostenido en el último mes.", 'escenario': 'deteccion_anomalias_tendencias'}} | notas: El prompt del usuario contiene dos solicitudes explícitas secuenciales que deben ser procesadas independientemente para garantizar respuestas precisas.
1. **Solicitud @1 ("consumo del ventilador este mes"):**
   - **Justificación:** El usuario solicita valores de consumo registrados para un dispositivo específico ("ventilador") dentro de un intervalo temporal explícito ("este mes"). No pide comparaciones, inferencias ni análisis de patrones, solo el dato cuantitativo.
   - **Escenario:** Se selecciona `consumo_basico` porque cumple con los criterios de consultar valores históricos dentro de un periodo de tiempo definido y la respuesta esperada es un valor cuantitativo o serie temporal.
2. **Solicitud @2 ("si la tendencia es creciente"):**
   - **Justificación:** El usuario solicita un análisis cualitativo sobre la evolución del consumo ("tendencia creciente"), lo que implica evaluar cambios sostenidos en el tiempo, identificar patrones y determinar si hay una dirección específica en los datos históricos.
   - **Escenario:** Se selecciona `deteccion_anomalias_tendencias` ya que la consulta requiere detectar tendencias (en este caso, crecientes) a partir de datos históricos, lo cual es el objetivo central de este escenario.</t>
  </si>
  <si>
    <t xml:space="preserve"> {'@1': {'solicitud': 'Obtén el consumo energético del televisor registrado durante el día de ayer.', 'escenario': 'consumo_basico'}, '@2': {'solicitud': 'Obtén el consumo energético del televisor registrado durante el día de hoy.', 'escenario': 'consumo_basico'}, '@3': {'solicitud': 'Compara el consumo energético del televisor entre el día de ayer y el día de hoy.', 'escenario': 'comparacion_consumos'}} | notas: La solicitud del usuario contiene dos acciones claras: obtener consumos históricos específicos y realizar una comparación entre ellos.
Se procedió a desglosar la solicitud en tres tareas independientes para asegurar que cada `solicitud` dentro del JSON sea autocontenida y no dependa de otras:
1.  **Solicitud `@1`**: Se aísla la intención de consultar el consumo de "ayer". Se clasifica en `consumo_basico` porque es una consulta de datos históricos cuantitativos dentro de un intervalo temporal explícito (ayer), sin análisis comparativo.
2.  **Solicitud `@2`**: Se aísla la intención de consultar el consumo de "hoy". Se clasifica en `consumo_basico` por la misma razón: es una consulta de datos puntuales recientes dentro de un intervalo temporal definido (hoy).
3.  **Solicitud `@3`**: Se aísla la intención de "comparar" ambos valores. Se clasifica en `comparacion_consumos` explícitamente, ya que la solicitud utiliza términos comparativos y busca analizar diferencias entre dos periodos de tiempo distintos (ayer vs. hoy).
Debido a que la solicitud original solicita dos datos distintos para luego compararlos, el sistema debe tratar estas tres solicitudes como pasos necesarios para satisfacer la intención completa del usuario.</t>
  </si>
  <si>
    <t xml:space="preserve"> {'@1': {'solicitud': 'Dime el consumo del horno ayer', 'escenario': 'consumo_basico'}, '@2': {'solicitud': 'Dime si el consumo del horno de ayer fue anormal', 'escenario': 'deteccion_anomalias_tendencias'}} | notas: La solicitud del usuario se divide en dos consultas secuenciales que deben procesarse de forma independiente para generar respuestas autocontenidas:
- **@1**: La primera parte, "Dime el consumo del horno ayer", solicita un valor histórico de consumo energético para un dispositivo específico (el horno) en un intervalo temporal explícito ("ayer"). Esta consulta encaja en el escenario **consumo_basico**, ya que busca un dato cuantitativo sin análisis comparativo ni inferencias futuras.
- **@2**: La segunda parte, "luego dime si fue anormal", depende semánticamente del resultado anterior pero, como solicitud independiente, busca evaluar el comportamiento del consumo para detectar irregularidades o desviaciones de lo habitual. Esto corresponde al escenario **deteccion_anomalias_tendencias**, orientado a identificar anomalías en datos históricos.</t>
  </si>
  <si>
    <t xml:space="preserve"> {'@1': {'solicitud': 'Muéstrame el consumo del horno en enero.', 'escenario': 'consumo_basico'}, '@2': {'solicitud': 'Muéstrame el consumo del horno en febrero.', 'escenario': 'consumo_basico'}} | notas: Se identifican dos solicitudes independientes referentes al consumo de un dispositivo específico (el horno) en dos periodos de tiempo distintos (enero y febrero). Ambas solicitudes buscan acceder a datos históricos de consumo energético para un intervalo temporal explícito, sin requerir comparaciones entre ellos. Por lo tanto, se categorizan bajo el escenario 'consumo_basico'.</t>
  </si>
  <si>
    <t xml:space="preserve"> {'@1': {'solicitud': 'Consulta el consumo energético de la nevera para el día de ayer.', 'escenario': 'consumo_basico'}, '@2': {'solicitud': 'Compara el consumo energético de la nevera con el de la lavadora para el mismo periodo de tiempo (ayer).', 'escenario': 'comparacion_consumos'}, '@3': {'solicitud': 'Detecta si existen anomalías o picos de consumo inusuales en el consumo histórico de la nevera y la lavadora.', 'escenario': 'deteccion_anomalias_tendencias'}} | notas: El prompt del usuario contiene tres solicitudes explícitas que deben procesarse secuencialmente para garantizar una respuesta coherente:
1. **Primera solicitud (@1)**: "¿Cuánto consumió mi nevera ayer?".
   - **Razonamiento**: Esta es una consulta directa de datos históricos sin análisis comparativo ni predictivo. Coincide con la definición de `consumo_basico` y sus indicadores de uso ("solicita valores históricos", "periodo inferible", "respuesta cuantitativa").
2. **Segunda solicitud (@2)**: "...compárala con la lavadora...".
   - **Razonamiento**: Requiere establecer una relación entre dos consumos específicos en un periodo determinado. Se categoriza en `comparacion_consumos` debido a la necesidad explícita de comparar ("comparativa") y analizar diferencias entre dos entidades.
3. **Tercera solicitud (@3)**: "...y dime si hay picos raros".
   - **Razonamiento**: Solicita un análisis de patrones específicamente enfocado en irregularidades ("picos raros"). Esto cae bajo `deteccion_anomalias_tendencias`, ya que el objetivo es identificar comportamientos atípicos a través del análisis de datos previos.</t>
  </si>
  <si>
    <t xml:space="preserve"> {'@1': {'solicitud': 'Consulta el consumo total energético (en kWh) del hogar completo durante el último año completo (del 1 de enero al 31 de diciembre del año actual). Proporciona el valor acumulado y, si está disponible, el desglose mensual.', 'escenario': 'consumo_basico'}, '@2': {'solicitud': 'Analiza si ha existido una tendencia sostenida de aumento en el consumo total energético del hogar durante los últimos 12 meses completos. Compara mes a mes para determinar si la tendencia general es ascendente, descendente o estable y especifica si hay un patrón claro de crecimiento.', 'escenario': 'deteccion_anomalias_tendencias'}} | notas: La solicitud del usuario contiene dos peticiones claras que deben separarse para un procesamiento preciso:
1. **Primera solicitud (@1):** "Primero dime el consumo total de la casa". Esta es una petición directa de datos históricos cuantitativos para un periodo (el año). Encaja perfectamente en el escenario **consumo_basico**, ya que el objetivo es consultar valores de consumo ya registrados para el hogar completo dentro de un intervalo temporal específico (el último año), sin requerir análisis comparativo o detección de patrones complejos, solo los datos puntuales o la serie temporal.
2. **Segunda solicitud (@2):** "...y luego dime si ha ido aumentando en el año". Esta petición va más allá de simplemente obtener datos; requiere un **análisis de patrones y tendencias** sobre los datos históricos para determinar el comportamiento (aumento sostenido). Por lo tanto, se categoriza bajo **deteccion_anomalias_tendencias**. El sistema debe analizar los datos para identificar si la tendencia ha sido de crecimiento, lo cual es el foco principal de este escenario.
Se descarta **comparacion_consumos** porque no se están comparando dos entidades distintas (como dos dispositivos o dos años), sino analizando la evolución de una misma entidad a lo largo del tiempo. Se descarta **prediccion_estimacion** porque se refiere a datos pasados y presentes, no a futuros. La separación en dos solicitudes independientes es necesaria porque la primera es autocontenida (entrega un dato), mientras que la segunda requiere procesamiento analítico sobre ese dato.</t>
  </si>
  <si>
    <t xml:space="preserve"> {'@1': {'solicitud': 'Consultar el consumo energético de la lavadora durante el día lunes.', 'escenario': 'consumo_basico'}, '@2': {'solicitud': 'Consultar el consumo energético de la lavadora durante el día martes.', 'escenario': 'consumo_basico'}, '@3': {'solicitud': 'Comparar el consumo energético de la lavadora entre el lunes y el martes para identificar la diferencia.', 'escenario': 'comparacion_consumos'}} | notas: La solicitud del usuario contiene dos acciones secuenciales: primero una consulta de consumo ("cuánto consumió la lavadora el lunes") y luego una comparación ("comparárala con el martes"). 
Para la primera acción:
- Se identifica como una consulta de datos históricos específicos (consumo de un dispositivo en un día concreto).
- Cumple los criterios de 'consumo_basico' ya que solicita valores puntuales sin análisis comparativo o de patrones.
Para la segunda acción:
- Requiere la comparación explícita entre dos periodos temporales (lunes vs martes).
- Se segmenta como una solicitud independiente bajo 'comparacion_consumos' porque implica analizar diferencias entre dos datasets distintos.
Se han generado tres solicitudes (@1, @2, @3) para cubrir ambos requerimientos de forma autocontenida, manteniendo la precisión del análisis requerido.</t>
  </si>
  <si>
    <t xml:space="preserve"> {'@1': {'solicitud': 'Consulta del consumo energético total de la casa durante el mes de octubre, solicitando el valor cuantitativo registrado en ese periodo.', 'escenario': 'consumo_basico'}, '@2': {'solicitud': 'Comparación del consumo energético total del hogar entre los meses de octubre y noviembre, solicitando diferencias relativas o absolutas para identificar cuál mes consumió más energía.', 'escenario': 'comparacion_consumos'}, '@3': {'solicitud': 'Análisis de los datos de consumo energético del hogar para detectar comportamientos anómalos, picos de consumo o consumos irregulares durante los periodos solicitados.', 'escenario': 'deteccion_anomalias_tendencias'}} | notas: El prompt del usuario contiene una instrucción compuesta que ha sido segmentada en tres solicitudes independientes para un análisis preciso:
1.  La primera parte, '¿Cuánto consumió mi casa en octubre?', es una consulta directa de datos históricos. Su intención es acceder a un valor cuantitativo de consumo para un periodo explícito (octubre). Esto se alinea perfectamente con el escenario `consumo_basico`, enfocado en la consulta de valores registrados sin análisis adicional.
2.  La segunda parte, 'cómo se compara con noviembre', establece una comparación explícita entre dos periodos de tiempo diferentes. La solicitud busca diferenciar el consumo entre octubre y noviembre, lo cual es el objetivo principal del escenario `comparacion_consumos`.
3.  La tercera parte, 'hubo algún pico raro', introduce una solicitud de análisis orientada a la identificación de anomalías o comportamientos irregulares en los datos de consumo. El uso de términos como 'pico' y 'raro' indica la necesidad de detectar fallos o ineficiencias, lo que corresponde al escenario `deteccion_anomalias_tendencias`.</t>
  </si>
  <si>
    <t xml:space="preserve"> {'@1': {'solicitud': 'Proporcionar el consumo energético del ventilador correspondiente al día anterior.', 'escenario': 'consumo_basico'}, '@2': {'solicitud': 'Proporcionar el consumo energético del PC correspondiente al día actual.', 'escenario': 'consumo_basico'}, '@3': {'solicitud': 'Comparar el consumo energético del ventilador (ayer) con el consumo energético del PC (hoy).', 'escenario': 'comparacion_consumos'}} | notas: El prompt del usuario contiene tres solicitudes distintas que deben ser procesadas individualmente:
1. **Solicitud @1 ("consumo del ventilador ayer")**: El usuario solicita un valor histórico de consumo (`consumo del ventilador`) para un periodo temporal específico (`ayer`). La respuesta es un valor cuantitativo puntual. Por lo tanto, se clasifica bajo el escenario **consumo_basico**.
2. **Solicitud @2 ("del PC hoy")**: El usuario solicita un valor de consumo (`del PC`) para un periodo temporal específico (`hoy`). Al igual que la anterior, busca un dato histórico/corriente sin comparaciones, por lo que se clasifica bajo **consumo_basico**.
3. **Solicitud @3 ("comparación entre ambos")**: El usuario explícitamente pide una comparación entre los dos dispositivos mencionados anteriormente. La intención es identificar diferencias relativas o absolutas entre el ventilador y el PC. Esto encaja con el escenario **comparacion_consumos**.</t>
  </si>
  <si>
    <t xml:space="preserve"> {'@1': {'solicitud': "Consultar el consumo energético registrado para el dispositivo 'aire acondicionado' durante la semana actual, especificando el rango temporal completo de la misma.", 'escenario': 'consumo_basico'}, '@2': {'solicitud': 'Comparar el consumo energético total del aire acondicionado obtenido para la semana actual con el consumo correspondiente a la semana inmediatamente anterior.', 'escenario': 'comparacion_consumos'}, '@3': {'solicitud': 'Analizar la tendencia de consumo del aire acondicionado a partir de los datos históricos disponibles, identificando si esta es creciente, decreciente o estable durante el periodo analizado.', 'escenario': 'deteccion_anomalias_tendencias'}} | notas: El prompt del usuario contiene tres acciones claras que se han separado en tres solicitudes independientes:
1. La primera parte, 'Dime el consumo del aire acondicionado esta semana', se categoriza como 'consumo_basico'. Se solicita un valor cuantitativo (consumo) para un dispositivo específico dentro de un intervalo temporal explícito ('esta semana'). No hay comparación ni análisis complejo, solo la extracción de datos puntuales.
2. La segunda parte, 'compáralo con la anterior', se categoriza como 'comparacion_consumos'. La solicitud explícitamente pide comparar dos consumos distintos (la semana actual vs. la anterior), lo cual encaja perfectamente con la definición de comparar consumos entre periodos de tiempo.
3. La tercera parte, 'analiza la tendencia', se categoriza como 'deteccion_anomalias_tendencias'. El análisis de tendencia implica examinar patrones en los datos históricos (creciente, decreciente, estable), lo cual corresponde a la detección de comportamientos sostenidos o tendencias en el consumo energético.</t>
  </si>
  <si>
    <t xml:space="preserve"> {'@1': {'solicitud': 'Quiero saber cuánto consumió mi nevera ayer.', 'escenario': 'consumo_basico'}, '@2': {'solicitud': 'Quiero saber cuánto consumió la lavadora ayer.', 'escenario': 'consumo_basico'}, '@3': {'solicitud': 'Comparar el consumo de la nevera y la lavadora de ayer.', 'escenario': 'comparacion_consumos'}, '@4': {'solicitud': 'Decirme si la nevera o la lavadora tuvieron un consumo extraño ayer.', 'escenario': 'deteccion_anomalias_tendencias'}} | notas: El prompt del usuario contiene múltiples solicitudes que deben ser segmentadas para que cada solicitud sea autocontenida y se corresponda con un escenario del sistema:
1.  **@1 y @2 (Consulta de valores puntuales):** Las frases "Quiero saber cuánto consumió mi nevera ayer" y "cuánto consumió la lavadora" son consultas directas de datos históricos registrados para un dispositivo específico en un intervalo temporal ("ayer"). No implican comparación ni análisis de patrones, por lo que se clasifican bajo el escenario `consumo_basico`.
2.  **@3 (Comparación):** La solicitud "compararlas" (refiriéndose a la nevera y la lavadora) requiere analizar las diferencias entre los consumos obtenidos en las solicitudes anteriores. Esto implica determinar cuál consume más o menos y analizar diferencias relativas, encajando perfectamente con el escenario `comparacion_consumos`.
3.  **@4 (Detección de anomalías):** La frase "decirme si alguna tuvo un consumo extraño" busca identificar comportamientos irregulares o inusuales en los datos de consumo. El término "extraño" se asocia directamente con anomalías o picos de consumo, lo que define el escenario `deteccion_anomalias_tendencias`.</t>
  </si>
  <si>
    <t xml:space="preserve"> {'@1': {'solicitud': 'Proporciona el consumo energético del PC del usuario para la semana actual, desde el inicio de la semana hasta el momento actual.', 'escenario': 'consumo_basico'}, '@2': {'solicitud': 'Proporciona el consumo energético del PC del usuario para la semana anterior (la semana inmediatamente anterior a la actual).', 'escenario': 'consumo_basico'}, '@3': {'solicitud': 'Compara los consumos energéticos del PC del usuario obtenidos en la semana actual y la semana anterior, destacando la diferencia.', 'escenario': 'comparacion_consumos'}} | notas: La consulta del usuario se divide en tres solicitudes claras para que el sistema pueda procesarlas correctamente.
1.  **Solicitud de consumo actual (@1):** El usuario pide "el consumo de mi PC esta semana". Esta es una consulta directa de datos históricos (del periodo que transcurre de la semana actual) para un dispositivo específico. Se asigna al escenario `consumo_basico` porque su intención es acceder a un valor cuantitativo dentro de un intervalo temporal inferible (la semana en curso).
2.  **Solicitud de consumo pasado (@2):** El usuario pide comparar "con la semana pasada". Para realizar esta comparación, el sistema primero necesita obtener el dato de consumo correspondiente al periodo referenciado ("semana pasada"). Se asigna al escenario `consumo_basico`, ya que es una consulta de datos históricos para un periodo de tiempo concreto y ya finalizado.
3.  **Solicitud de comparación (@3):** El usuario utiliza explícitamente el término "compararlo". Esta acción requiere analizar las diferencias entre los dos consumos previamente solicitados. Se asigna al escenario `comparacion_consumos` porque la intención principal es identificar diferencias relativas o absolutas entre dos periodos de tiempo distintos (semana actual vs. semana pasada).</t>
  </si>
  <si>
    <t xml:space="preserve"> {'@1': {'solicitud': 'Consultar el consumo energético específico del aire acondicionado correspondiente al día de ayer.', 'escenario': 'consumo_basico'}, '@2': {'solicitud': 'Comparar el consumo energético del aire acondicionado de ayer con el consumo total semanal anterior para identificar diferencias en el uso.', 'escenario': 'comparacion_consumos'}, '@3': {'solicitud': 'Analizar la tendencia de consumo del aire acondicionado en los últimos días para determinar si existe un patrón sostenido de aumento o disminución.', 'escenario': 'deteccion_anomalias_tendencias'}} | notas: El prompt del usuario abarca tres intenciones claras que deben manejarse por separado para una respuesta precisa:
1. **Solicitud @1 ('consumo_basico')**: El usuario pregunta explícitamente "Cuánto consumió... ayer". Esta es una consulta directa de un valor histórico específico (ayer) dentro del dominio de consumo energético, cumpliendo perfectamente con los criterios de acceso a datos puntuales sin análisis comparativo o inferencial.
2. **Solicitud @2 ('comparacion_consumos')**: La frase "cómo se compara con la semana pasada" activa la necesidad de un análisis comparativo. El sistema requiere este escenario para calcular la diferencia (absoluta o relativa) entre dos periodos de tiempo distintos, lo cual va más allá de la mera consulta de datos.
3. **Solicitud @3 ('deteccion_anomalias_tendencias')**: La pregunta sobre "qué tendencia tiene" indica una necesidad de análisis de patrones a lo largo del tiempo. El sistema necesita este escenario para procesar los datos históricos y determinar comportamientos sostenidos (aumentos o disminuciones), diferenciándose de la simple obtención de datos o comparación puntual.</t>
  </si>
  <si>
    <t xml:space="preserve"> {'@1': {'solicitud': 'Consultar el consumo energético de la lavadora durante el sábado, dentro de un intervalo temporal explícito o claramente inferible, y proporcionar el valor cuantitativo de consumo registrado para ese día.', 'escenario': 'consumo_basico'}, '@2': {'solicitud': 'Consultar el consumo energético de la lavadora durante el domingo, dentro de un intervalo temporal explícito o claramente inferible, y proporcionar el valor cuantitativo de consumo registrado para ese día.', 'escenario': 'consumo_basico'}, '@3': {'solicitud': 'Comparar el consumo energético de la lavadora entre el sábado y el domingo para determinar si el consumo del sábado fue superior al del domingo, identificando la diferencia relativa o absoluta entre ambos valores.', 'escenario': 'comparacion_consumos'}} | notas: El prompt del usuario solicita dos acciones principales que deben ser desglosadas. Primero, pregunta explícitamente por el consumo de la lavadora en dos días específicos (sábado y domingo), lo cual requiere acceder a datos puntuales históricos, por lo que se categorizan como solicitudes de tipo 'consumo_basico' (@1 y @2). Segundo, el usuario solicita una comparación explícita entre estos dos valores ("fue más que"), lo cual se alinea directamente con la intención de comparar consumos, clasificándose como 'comparacion_consumos' (@3). Esta descomposición garantiza que cada solicitud sea autocontenida y que el sistema pueda ejecutar las consultas de datos antes de realizar la comparación.</t>
  </si>
  <si>
    <t xml:space="preserve"> {'@1': {'solicitud': 'Obtener el consumo energético total de la nevera durante el día de ayer, especificando el valor numérico y la unidad de medida.', 'escenario': 'consumo_basico'}, '@2': {'solicitud': 'Obtener el consumo energético total del televisor durante el día de ayer, especificando el valor numérico y la unidad de medida.', 'escenario': 'consumo_basico'}, '@3': {'solicitud': 'Comparar el consumo energético de la nevera y el televisor del día de ayer, identificando cuál de los dos dispositivos registró un consumo mayor y cuál fue menor.', 'escenario': 'comparacion_consumos'}} | notas: El 'prompt_usuario' contiene dos peticiones claras con intenciones distintas:
1.  La primera parte: "¿Cuánto consumieron la nevera y el televisor ayer..." solicita datos históricos cuantitativos para un periodo de tiempo definido ("ayer"). Esta intención se corresponde exactamente con la definición del escenario **consumo_basico**, ya que busca acceder a valores puntuales de consumo sin análisis comparativo profundo.
2.  La segunda parte: "...y cuál fue mayor?" introduce explícitamente una acción de comparación entre los dos dispositivos ya mencionados. Esta intención se corresponde con la definición del escenario **comparacion_consumos**, que se especializa en identificar diferencias y determinar el mayor/menor consumo entre entidades.
Se ha optado por segmentar la solicitud en tres entradas distintas (@1, @2, @3) para garantizar la autocontención de cada solicitud, asegurando que el sistema pueda procesar cada requerimiento de forma independiente y precisa.</t>
  </si>
  <si>
    <t xml:space="preserve"> {'@1': {'solicitud': 'Obtener el consumo energético de la nevera correspondiente al día de ayer.', 'escenario': 'consumo_basico'}, '@2': {'solicitud': 'Comparar el consumo energético de la nevera con el de la lavadora para identificar cuál consume más o menos y determinar la diferencia entre ambos.', 'escenario': 'comparacion_consumos'}, '@3': {'solicitud': 'Determinar si los datos de consumo obtenidos son suficientes para calcular un ahorro económico que permita financiar un viaje.', 'escenario': 'entrada_inadmisible'}} | notas: La solicitud del usuario se ha dividido en tres peticiones claras:
1. La primera parte ("Dime el consumo de mi nevera ayer") solicita un dato histórico específico sobre un dispositivo en un intervalo temporal. Esto encaja perfectamente en el escenario 'consumo_basico', ya que busca un valor cuantitativo sin análisis adicional.
2. La segunda parte ("compárala con la lavadora") indica explícitamente la necesidad de comparar dos consumos específicos. El escenario 'comparacion_consumos' está diseñado para gestionar estas peticiones que buscan identificar diferencias o relaciones entre consumos.
3. La tercera parte ("y dime si con eso ya puedo ahorrar para irme de viaje") introduce una interpretación financiera y de planificación que requiere inferencia sobre el impacto económico y la suficiencia del ahorro. Dado que el sistema se centra únicamente en el análisis del consumo energético (datos, comparaciones, anomalías, predicciones) y no gestiona conversiones monetarias ni planificación financiera de viajes, esta solicitud cae fuera del dominio del sistema. Se asigna a 'entrada_inadmisible' porque, aunque la intención es explícita, no corresponde a ninguna acción procesable por el sistema de consumo energético del hogar.</t>
  </si>
  <si>
    <t xml:space="preserve"> {'@1': {'solicitud': 'Proporcionar el consumo energético del horno durante el mes actual, dentro de un intervalo temporal explícito o claramente inferible.', 'escenario': 'consumo_basico'}, '@2': {'solicitud': 'Analizar el consumo histórico del horno para identificar comportamientos anómalos, picos de consumo o consumos irregulares.', 'escenario': 'deteccion_anomalias_tendencias'}, '@3': {'solicitud': 'Analizar la tendencia del consumo energético del horno para determinar si existe un aumento o disminución sostenida en el tiempo.', 'escenario': 'deteccion_anomalias_tendencias'}} | notas: El prompt del usuario contiene tres solicitudes distintas:
1. "Dime el consumo del horno este mes": Esta es una solicitud para obtener datos históricos de consumo para un periodo de tiempo específico (el mes actual). Se corresponde directamente con el escenario `consumo_basico`, ya que la intención es acceder a datos puntuales sin comparaciones ni análisis complejos.
2. "analiza si hay anomalías": Esta parte de la consulta solicita explícitamente un análisis para detectar comportamientos irregulares o fuera de lo común en los datos de consumo. Se alinea perfectamente con el escenario `deteccion_anomalias_tendencias`, que se enfoca en identificar dichas anomalías.
3. "dime si va en aumento": Esta es una solicitud de análisis de tendencia. El usuario quiere saber si el consumo ha crecido sostenidamente. Aunque podría parecer una predicción, el enunciado se refiere al análisis de datos pasados para inferir una tendencia actual, por lo que se agrupa en `deteccion_anomalias_tendencias` junto con la detección de anomalías, ya que ambas se basan en el análisis de patrones históricos.
Se han separado en tres solicitudes independientes (@1, @2, @3) para que cada una sea autocontenida y se corresponda con un objetivo funcional único, aunque todas estén relacionadas con el consumo del horno en el mismo periodo.</t>
  </si>
  <si>
    <t xml:space="preserve"> {'@1': {'solicitud': 'Consultar el consumo energético del televisor registrado durante el día de ayer, proporcionando el valor cuantitativo específico para ese periodo.', 'escenario': 'consumo_basico'}, '@2': {'solicitud': 'Obtener consejo o análisis sobre si el usuario debe cambiar de carrera profesional actual.', 'escenario': 'entrada_inadmisible'}} | notas: Para la primera solicitud ('@1'), el usuario solicita un valor de consumo específico ('televisor') para un periodo temporal definido ('ayer'). Esto se alinea directamente con el escenario `consumo_basico`, cuyo objetivo es consultar valores puntuales o históricos sin análisis comparativo o predictivo.
Para la segunda solicitud ('@2'), el usuario pregunta sobre una decisión de vida personal ('cambiar de carrera profesional'). Esta consulta no tiene ninguna relación semántica con el consumo energético del hogar, los dispositivos o los hábitos de uso energético. Por lo tanto, se clasifica como `entrada_inadmisible`, ya que está fuera del dominio funcional del sistema.</t>
  </si>
  <si>
    <t xml:space="preserve"> {'@1': {'solicitud': 'Consultar el consumo energético total registrado de la casa completa para el periodo de tiempo desde el inicio del año actual hasta la fecha actual.', 'escenario': 'consumo_basico'}, '@2': {'solicitud': 'Comparar el consumo energético total de la casa completa del periodo del año actual contra el consumo total registrado del mismo periodo del año anterior para determinar si ha habido un aumento.', 'escenario': 'comparacion_consumos'}, '@3': {'solicitud': 'Identificar días dentro del registro histórico del consumo energético total de la casa completa que se consideren anómalos o que presenten picos de consumo significativos respecto a la media del periodo.', 'escenario': 'deteccion_anomalias_tendencias'}} | notas: La solicitud del usuario contiene tres intenciones claras que deben ser procesadas de forma independiente para garantizar que cada tarea se maneje correctamente según el escenario correspondiente:
1. **Solicitud @1**: La petición de "saber el consumo total de la casa" se refiere a la consulta de un valor histórico. Al no especificar un tiempo, se infiere el periodo actual del año (desde inicio de año hasta hoy). Por ello se categoriza bajo `consumo_basico`.
2. **Solicitud @2**: La pregunta de "si ha aumentado este año" implica una comparación directa de datos (consumo actual vs. periodo equivalente anterior), lo cual es la definición del escenario `comparacion_consumos`.
3. **Solicitud @3**: La consulta sobre "días anómalos" busca patrones fuera de lo común o picos en los datos históricos, encajando perfectamente con el escenario `deteccion_anomalias_tendencias`.</t>
  </si>
  <si>
    <t xml:space="preserve"> {'@1': {'solicitud': 'Consulta el consumo energético específico de la lavadora para el fin de semana anterior, obteniendo los datos de consumo registrados en el sistema para este dispositivo en particular durante ese intervalo de tiempo.', 'escenario': 'consumo_basico'}, '@2': {'solicitud': 'Compara el consumo energético total del fin de semana entre la lavadora y el horno, analizando las diferencias relativas y determinando cuál de los dos dispositivos registró un mayor consumo de energía durante ese periodo.', 'escenario': 'comparacion_consumos'}, '@3': {'solicitud': 'Revisa los datos de consumo del hogar durante el fin de semana para identificar la existencia de picos de consumo energético anómalos o comportamientos irregulares que puedan indicar fallos o hábitos de uso ineficientes.', 'escenario': 'deteccion_anomalias_tendencias'}} | notas: El prompt del usuario contiene tres intenciones claras que deben ser procesadas de forma independiente:
1. **Primera intención ("Dime el consumo de mi lavadora el fin de semana")**: Se ha mapeado al escenario `consumo_basico` porque el usuario solicita un valor histórico de consumo para un dispositivo específico en un intervalo temporal definido ("el fin de semana"). La intención es puramente consultiva y accede a datos puntuales sin comparación ni análisis avanzado.
2. **Segunda intención ("compárala con el horno")**: Se ha mapeado al escenario `comparacion_consumos` porque la solicitud explícitamente pide una comparación de consumos entre dos dispositivos (lavadora vs. horno). El objetivo es identificar diferencias y determinar cuál consume más.
3. **Tercera intención ("revisa si hubo picos")**: Se ha mapeado al escenario `deteccion_anomalias_tendencias` porque la solicitud busca la identificación de comportamientos anómalos o eventos de pico de consumo en los datos históricos del periodo solicitado.</t>
  </si>
  <si>
    <t>The model correctly decomposes the input '¿Cuál fue el consumo total de la casa durante marzo de 2024?' into a single, independent intention, aligning with A1. It does not invent information (A2), and the inferred intention 'Consulta el consumo total de energía eléctrica de la casa durante el mes de marzo de 2024' is accurate and consistent with the input. The scenario classification 'consumo_basico' is correct according to B1, as it's a direct query for historical consumption. The 'notas' field provides clear and consistent reasoning for the classification, demonstrating strong internal coherence (A4). The slight difference in phrasing of the 'solicitud' compared to the Expected Output is minor and does not detract from its correctness or completeness.</t>
  </si>
  <si>
    <t>The Actual Output fails to correctly decompose the Input into all individual, independent intentions (A1). The Input asks about three distinct devices (PC, monitor, router), which the Expected Output correctly breaks down into three separate 'consumo_basico' requests. However, the Actual Output combines these into a single request, indicating a significant shortcoming in identifying independent intentions. While the classification of the single identified intention as 'consumo_basico' is correct and the 'notas' are internally consistent with this single request, the fundamental failure in decomposition places it in the 0-4 range of the rubric.</t>
  </si>
  <si>
    <t>The model accurately decomposes the input 'Quiero saber cuánta energía gastó mi computador hoy' into a single, independent intention, aligning perfectly with the Expected Output (A1, A2). It correctly infers the explicit request for energy consumption of a specific device for today (A3). The scenario classification as 'consumo_basico' is correct and matches the Expected Output (B1). Furthermore, the 'notas' field provides a clear and consistent justification for both the identified request and its classification, demonstrating strong internal coherence (A4).</t>
  </si>
  <si>
    <t>The model correctly decomposes the input into two independent intentions for the fridge and washing machine consumption (A1), without inventing any information (A2). Both intentions are accurately classified as 'consumo_basico' (B1), matching the Expected Output. The 'notas' field provides clear and consistent reasoning for these classifications, demonstrating strong internal coherence (A4) by explaining why each request fits the 'consumo_basico' scenario.</t>
  </si>
  <si>
    <t>The model correctly decomposes the input '¿Cuánto consumió el aire acondicionado el fin de semana pasado?' into a single, independent intention. It accurately infers the implicit temporal context of 'fin de semana pasado' as the previous Saturday and Sunday without inventing information. The scenario classification 'consumo_basico' is correct and aligns with the Expected Output. Furthermore, the 'notas' field demonstrates strong internal coherence, providing clear and consistent reasoning for both the identified request and its classification, fulfilling all criteria for a top score.</t>
  </si>
  <si>
    <t>The model correctly decomposes the input 'Dime el consumo de mi lavadora el lunes pasado' into a single intention (A1) without inventing information (A2). It accurately classifies this request as 'consumo_basico' (B1), which aligns perfectly with the Expected Output. The 'notas' field provides a clear, detailed, and internally coherent (A4) justification for this classification, thoroughly explaining why 'consumo_basico' is appropriate and ruling out other scenarios. No implicit intentions needed to be inferred (A3).</t>
  </si>
  <si>
    <t>The model correctly decomposes the input 'Muéstrame el consumo del ventilador el día de ayer' into a single, independent intention. It accurately rephrases the request as 'Proporciona el consumo energético del ventilador correspondiente al día completo del día anterior al actual' without inventing information. The assigned scenario classification 'consumo_basico' is correct and aligns with the Expected Output. Additionally, the 'notas' field provides a clear and consistent explanation for this classification, demonstrating strong internal coherence.</t>
  </si>
  <si>
    <t>The model fails to correctly decompose the input '¿Cuánto consumió mi casa en junio, julio y agosto?' into all individual, independent intentions (A1). It incorrectly groups the three distinct monthly requests into a single intention, whereas the Expected Output clearly shows three separate requests for June, July, and August. While the assigned scenario 'consumo_basico' is correct for the overall request, the fundamental failure in decomposition (A1) and the inability to infer the three implicit intentions (A3) as separate entities leads to a low score. The internal coherence (A4) is maintained for its single, albeit incorrectly aggregated, request.</t>
  </si>
  <si>
    <t>The model correctly decomposes the single user request from the input '¿Cuánto consumió mi nevera durante el mes de enero?' into an individual request. It accurately infers the intention as 'Consulta del consumo energético total de la nevera durante el mes de enero.', which aligns perfectly with the expected output's interpretation. No information is invented. The assigned scenario 'consumo_basico' is correct and matches the expected output. Furthermore, the 'notas' field provides a clear, coherent, and detailed justification for the classification, demonstrating a strong understanding of the request's nature.</t>
  </si>
  <si>
    <t>The model correctly decomposes the input into three individual, independent intentions for each appliance (nevera, lavadora, secadora) as per A1. It does not invent information (A2) and correctly infers implicit details like 'consumo energético registrado' (A3). All three intentions are accurately classified under the 'consumo_basico' scenario (B1), aligning with the Expected Output. Furthermore, the 'notas' field provides a clear and consistent explanation for both the decomposition and the scenario classification, demonstrating strong internal coherence (A4). The slight elaboration in the request description regarding 'último domingo disponible' is a reasonable clarification and does not detract from the accuracy of the decomposition or classification.</t>
  </si>
  <si>
    <t>The model correctly decomposes the single input request into an independent request (A1) without inventing information (A2). The inferred intention in the 'solicitud' field, 'Consultar el consumo energético del televisor específico durante el periodo de la noche del día anterior.', accurately interprets the input '¿Cuánto consumió mi televisor ayer en la noche?' and aligns with the expected output's interpretation (A3). The assigned scenario 'consumo_basico' is correct for a direct query of historical consumption for a specific device and period (B1). Furthermore, the 'notas' field provides a clear and coherent explanation for this classification, referencing specific details from the input (A4).</t>
  </si>
  <si>
    <t>The model correctly decomposes the input into two independent intentions for the television and computer (A1). It accurately infers the implicit intention of 'consumo energético' and does not invent any information (A2, A3). Each intention is correctly classified under the 'consumo_basico' scenario, aligning with the Expected Output (B1). The 'notas' field provides a clear and consistent explanation for the decomposition and classification, demonstrating strong internal coherence (A4). The output perfectly matches the expected behavior for the input '¿Cuánto consumieron el televisor y el computador el sábado pasado?'</t>
  </si>
  <si>
    <t>The model correctly decomposes the input 'Dime el consumo de mi televisor ayer y dime también si eso fue moralmente correcto' into two independent requests, '@1' for consumption and '@2' for moral correctness, without inventing information. Both requests accurately interpret the natural language input and align perfectly with the 'Expected Output'. Furthermore, the model correctly assigns the 'consumo_basico' scenario to the first request and 'entrada_inadmisible' to the second, matching the 'Expected Output'. The 'notas' field provides clear and coherent explanations for both the decomposition and scenario assignments, demonstrating a thorough understanding of the input and context.</t>
  </si>
  <si>
    <t>The model correctly decomposed the input into a single request, accurately interpreting the user's intention to query historical energy consumption for the oven on November 15th. It assigned the correct 'consumo_basico' scenario, aligning with the expected output. The 'notas' field provided a clear and coherent justification for the classification. Although the 'solicitud' and 'notas' were slightly more verbose than the expected output, they did not invent information or misinterpret the input, fulfilling all A1-A4 and B1 criteria.</t>
  </si>
  <si>
    <t>The model successfully decomposes the input into two independent requests for 'consumo_basico' for Monday and Tuesday, aligning perfectly with the expected output. It accurately interprets the user's intention to retrieve specific consumption values without inventing information. The scenario classification for both requests as 'consumo_basico' is correct, as the input asks for individual consumption data rather than a comparison. The 'notas' field clearly and coherently summarizes the user's request for punctual consumption values for two different days.</t>
  </si>
  <si>
    <t>The model fails to correctly interpret the user's input, transforming a metaphorical and non-technical query ("¿Qué tan feliz estuvo mi casa ayer con el consumo de energía?") into an actionable technical request ('Consultar el consumo de energía total de la casa durante el día de ayer.'). This constitutes inventing information (A2) not deducible as a valid system action, as the Expected Output explicitly classifies it as 'entrada_inadmisible'. Consequently, the interpretation (A3) and the scenario assignment ('consumo_basico' instead of 'entrada_inadmisible') are incorrect (B1), indicating insufficient semantic quality.</t>
  </si>
  <si>
    <t>The model correctly decomposes the input into two independent requests, aligning with A1. It does not invent information (A2), but rather provides a slightly more detailed, yet accurate, interpretation of the timeframes ('esta semana' and 'la semana pasada') which is a reasonable inference. The inferred intentions and details in the decomposed requests closely match the Expected Output (A3). Both requests are correctly classified under the 'consumo_basico' scenario, consistent with the Expected Output and the nature of the queries (B1). The 'notas' field is clear, coherent, and provides a good explanation for the decomposition and scenario assignment (A4). The slight elaboration on the timeframes in the 'solicitud' field, while not strictly identical to the Expected Output's brevity, is a valid and helpful clarification rather than a shortcoming.</t>
  </si>
  <si>
    <t>The model correctly decomposes the input into a single request and accurately interprets the user's intention to query total energy consumption for 'la semana pasada' (A1, A2, A3). The assigned scenario 'consumo_basico' is correct and aligns with the expected output, demonstrating proper classification based on the context (B1). The 'solicitud' field is very similar to the expected output, showing strong alignment. The 'notas' field in the actual output, while coherent, is less descriptive than the expected output's notes, but it does not introduce incoherence or incorrect information (A4).</t>
  </si>
  <si>
    <t>The model correctly decomposes the input into two distinct intentions, 'Consultar el consumo energético específico del PC ayer' and 'Detectar si el consumo del PC ha mostrado un aumento sostenido durante el mes actual', without inventing any information. Both intentions are accurately classified into 'consumo_basico' and 'deteccion_anomalias_tendencias' respectively, aligning perfectly with the Expected Output. The 'notas' field provides a clear, detailed, and internally consistent explanation for each classification, demonstrating strong coherence between the reasoning and the output.</t>
  </si>
  <si>
    <t>The model correctly decomposes the input into two independent requests (A1) and assigns the correct scenario 'consumo_basico' to both (B1). The 'notas' field is also clear and coherent (A4). However, the model invents information by adding specific example time ranges (e.g., '06:00 a 12:00 horas') to the 'solicitud' fields, which are not present in the original input or the expected output (A2). This also leads to a lack of alignment with the expected output's concise interpretation of the input (A3), making the actual output's 'solicitud' significantly more verbose than expected.</t>
  </si>
  <si>
    <t>El modelo descompone correctamente la entrada en dos intenciones independientes y mantiene coherencia interna en su razonamiento para ambas. Sin embargo, clasifica incorrectamente la segunda solicitud 'dime si eso significa que soy irresponsable'. El modelo la asigna al escenario 'deteccion_anomalias_tendencias', mientras que la salida esperada la identifica como 'entrada_inadmisible', lo que constituye un error en la clasificación del escenario (B1).</t>
  </si>
  <si>
    <t>The model successfully decomposes the input "¿Cuánto consumió mi casa en noviembre y cómo se compara con octubre?" into two distinct requests, '@1' for basic consumption and '@2' for consumption comparison. It accurately interprets the user's intentions without inventing information, aligning perfectly with the expected output's decomposition and semantic meaning. Both requests are correctly classified into their respective scenarios, 'consumo_basico' and 'comparacion_consumos', matching the expected output. Furthermore, the 'notas' field provides a clear, coherent, and detailed explanation for the decomposition and scenario assignment, demonstrating strong internal consistency and reasoning.</t>
  </si>
  <si>
    <t>The model successfully decomposes the input 'Dime el consumo del televisor ayer y analiza si su consumo va en aumento' into two independent requests, '@1' for historical consumption and '@2' for trend analysis, without inventing information (A1, A2). The inferred intentions and details in the actual output's requests align perfectly with the expected output's interpretation (A3). Furthermore, both requests are correctly classified into their respective scenarios, 'consumo_basico' and 'deteccion_anomalias_tendencias', matching the expected output (B1). The 'notas' field provides a clear and coherent explanation for the decomposition and scenario assignment (A4).</t>
  </si>
  <si>
    <t>The model correctly decomposes the input 'Primero quiero saber cuánto consumió mi casa este mes y después si aumentó respecto al mes pasado' into two independent intentions, '@1' and '@2', without inventing information (A1, A2). Both intentions are accurately classified into 'consumo_basico' and 'comparacion_consumos' respectively, aligning with the Expected Output (B1). The model also correctly infers the implicit intention of determining an 'aumento' in the second request (A3). Furthermore, the 'notas' field provides clear, detailed, and consistent reasoning for both the decomposition and the scenario classifications, demonstrating strong internal coherence (A4).</t>
  </si>
  <si>
    <t>The model correctly decomposes the input 'Dime el consumo del aire acondicionado esta semana y compáralo con la semana pasada' into two distinct and independent requests. It accurately infers the intentions for both 'Dime el consumo del aire acondicionado esta semana' and 'Compara el consumo del aire acondicionado de esta semana con el consumo de la semana pasada', aligning perfectly with the Expected Output's interpretation. No information is invented. Both requests are correctly classified into their respective scenarios, `consumo_basico` and `comparacion_consumos`, demonstrating a precise understanding of the `ESCENARIOS_CONTEXTO`. The 'notas' field is clear and coherent with the identified requests.</t>
  </si>
  <si>
    <t>The model correctly decomposes the input into two independent requests, 'Proporcionar el consumo energético del horno este mes' and 'Analizar los datos de consumo del horno del mes actual para detectar anomalías', aligning perfectly with the user's explicit intentions. It does not invent any information, accurately inferring the context for the second request from the first. Both requests are correctly classified into the 'consumo_basico' and 'deteccion_anomalias_tendencias' scenarios, respectively, matching the Expected Output. The 'notas' field provides a clear and coherent explanation for the decomposition and scenario assignments, demonstrating a strong understanding of the input and context.</t>
  </si>
  <si>
    <t>The model correctly decomposes the input into two independent requests, '@1' for consulting consumption and '@2' for comparing consumption, without inventing any information (A1, A2). The inferred intentions in the 'solicitud' fields for both requests closely align with the Expected Output, demonstrating accurate interpretation of the natural language (A3). Furthermore, the model correctly assigns 'consumo_basico' to the first request and 'comparacion_consumos' to the second, matching the Expected Output and reflecting the input's intentions (B1). The 'notas' field provides a clear and coherent explanation for the decomposition and scenario assignment (A4).</t>
  </si>
  <si>
    <t>The model correctly decomposes the input into two distinct intentions and assigns appropriate scenario classifications for both ('consumo_basico' and 'deteccion_anomalias_tendencias'). However, for the second intention, 'si hubo algún pico extraño ayer', the actual output incorrectly broadens the scope of the anomaly detection from the 'ventilador' (as implied by the input and confirmed by the Expected Output) to the 'consumo energético general del hogar'. This constitutes inventing information not provided in the input (A2), leading to insufficient semantic quality for that specific request.</t>
  </si>
  <si>
    <t>The model correctly decomposes the input into two independent intentions, '@1' for 'Consulta del consumo energético del aire acondicionado' and '@2' for 'Análisis para detectar anomalías', aligning perfectly with the Expected Output. It does not invent any information. Both intentions are correctly classified into their respective scenarios, 'consumo_basico' and 'deteccion_anomalias_tendencias', which matches the Expected Output and demonstrates accurate scenario classification (B1). Furthermore, the 'notas' field provides a clear, detailed, and internally coherent explanation for both the decomposition and the scenario assignments, satisfying the internal coherence criterion (A4).</t>
  </si>
  <si>
    <t>The model correctly decomposes the input into two independent requests (A1) and does not invent information (A2). Both requests are correctly classified into their respective scenarios, 'consumo_basico' and 'comparacion_consumos' (B1). The 'notas' field provides a clear and coherent explanation for the decomposition and classification (A4). However, for the second request, the 'solicitud' in the Actual Output ('Compara el consumo energético de mi nevera con el de mi horno...') omits the implicit temporal context 'ayer' from the original input, which the Expected Output correctly includes ('Comparar el consumo energético entre la nevera y el horno durante el día de ayer.'), indicating a minor shortcoming in fully inferring implicit intentions (A3).</t>
  </si>
  <si>
    <t>The model correctly decomposes the input 'Quiero saber el consumo del ventilador este mes y luego dime si la tendencia es creciente' into two distinct intentions, '@1' for consumption and '@2' for trend analysis. It does not invent information, and the elaborated 'solicitud' descriptions are accurate interpretations. Both intentions are correctly classified into 'consumo_basico' and 'deteccion_anomalias_tendencias' respectively, aligning perfectly with the Expected Output. The 'notas' field provides clear, coherent, and consistent reasoning for both the identified requests and their scenario classifications, demonstrating strong internal coherence.</t>
  </si>
  <si>
    <t>The model correctly decomposes the input 'Obtén el consumo del televisor ayer y compáralo con el de hoy' into three distinct and independent intentions: obtaining yesterday's consumption, obtaining today's consumption, and comparing them. It does not invent any information and accurately infers the implicit need to retrieve both consumption values before comparison. All scenario classifications (`consumo_basico` for individual consumption queries and `comparacion_consumos` for the comparison) are correct and align perfectly with the Expected Output. Furthermore, the 'notas' field provides a clear, detailed, and internally consistent explanation for each decomposition and classification, demonstrating strong coherence.</t>
  </si>
  <si>
    <t>The model correctly decomposes the input 'Dime el consumo del horno ayer y luego dime si fue anormal' into two independent intentions, '@1' and '@2', without inventing information. It accurately infers the implicit context for the second request, 'Dime si el consumo del horno de ayer fue anormal'. Both intentions are correctly classified into 'consumo_basico' and 'deteccion_anomalias_tendencias' respectively, aligning with the expected output. The 'notas' field provides clear and consistent reasoning for these classifications, demonstrating strong internal coherence.</t>
  </si>
  <si>
    <t>The model correctly decomposes the input 'Muéstrame el consumo del horno en enero y en febrero' into two independent intentions (A1) and does not invent information (A2). It also correctly classifies both requests under the 'consumo_basico' scenario (B1), aligning with the Expected Output. The reasoning provided in the 'notas' field is clear and internally consistent with its identified requests and classifications (A4). However, the model fails to adequately infer implicit intentions (A3) as its 'notas' explicitly states 'sin requerir comparaciones entre ellos', which contradicts the Expected Output's 'notas' indicating 'comparación implícita entre periodos'. This specific shortcoming prevents a score in the 8-10 range, despite strong performance on other criteria.</t>
  </si>
  <si>
    <t>The model successfully decomposes the input into three independent requests, accurately inferring temporal context for all. It does not invent information (A1, A2). The inferred intentions and details in the decomposed requests align very well with the Expected Output, with the model's interpretation of 'picos raros' as 'consumo histórico' for anomaly detection being a reasonable and robust approach (A3). Crucially, all three requests are correctly classified into their respective scenarios: 'consumo_basico', 'comparacion_consumos', and 'deteccion_anomalias_tendencias', matching the Expected Output (B1). The 'notas' field provides a clear, coherent, and well-reasoned explanation for each decomposition and scenario assignment (A4).</t>
  </si>
  <si>
    <t>The model correctly decomposes the input into two independent requests, aligning with evaluation step A1. It does not invent information (A2), but rather provides a more detailed and comprehensive interpretation of the user's implicit intent for each request compared to the Expected Output. For instance, for the first request, it elaborates 'consumo total de la casa' to include 'en kWh', 'último año completo', and 'desglose mensual'. Both requests' inferred intentions and details are consistent with the core meaning of the input, satisfying A3. Crucially, the model correctly assigns the 'consumo_basico' and 'deteccion_anomalias_tendencias' scenarios for each request, respectively, which matches the Expected Output and demonstrates correct B1 classification. Finally, the 'notas' field is exceptionally clear, coherent, and provides excellent justification for the decomposition and scenario choices, fulfilling A4. The slight difference in verbosity for the 'solicitud' field compared to the Expected Output is a minor stylistic difference rather than an error in interpretation.</t>
  </si>
  <si>
    <t>The model fails to correctly decompose the input by creating an explicit intention to 'Consultar el consumo energético de la lavadora durante el día martes' (@2). This intention is not present as a separate step in the Expected Output, which implies the comparison scenario would handle the retrieval of Tuesday's data. This constitutes an over-decomposition or an invention of an unnecessary explicit step (A1, A2) when using the Expected Output as the reference for correct decomposition. Although the classifications for the other two intentions are correct and the internal reasoning is coherent, the fundamental decomposition structure deviates from the provided reference.</t>
  </si>
  <si>
    <t>The model correctly decomposes the input into three distinct intentions, aligning perfectly with the expected output's structure and content. It does not invent any information (A1, A2). Each decomposed intention is accurately classified into the correct scenario ('consumo_basico', 'comparacion_consumos', 'deteccion_anomalias_tendencias') as per the expected output (B1). The 'notas' field provides clear, consistent, and detailed reasoning for each request and its classification, demonstrating strong internal coherence (A4). The model successfully infers implicit intentions where applicable, such as the need for analysis in 'pico raro' (A3).</t>
  </si>
  <si>
    <t>The model correctly decomposes the input 'Quiero el consumo del ventilador ayer, del PC hoy y una comparación entre ambos' into three distinct and independent intentions, aligning perfectly with the Expected Output. It accurately infers implicit details like 'consumo energético' and assigns the correct scenario classifications ('consumo_basico' for the first two requests and 'comparacion_consumos' for the third). Furthermore, the 'notas' field provides clear, detailed, and internally consistent reasoning for each classification, demonstrating strong coherence.</t>
  </si>
  <si>
    <t>The model correctly decomposes the input 'Dime el consumo del aire acondicionado esta semana, compáralo con la anterior y analiza la tendencia' into three distinct intentions, aligning perfectly with the Expected Output's structure and meaning. It does not invent any information (A1, A2). Each intention's scenario classification ('consumo_basico', 'comparacion_consumos', 'deteccion_anomalias_tendencias') is correct as per the Expected Output (B1). The model also appropriately infers implicit details, such as comparing with the 'semana anterior' and the need for historical data for 'analiza la tendencia' (A3). Furthermore, the 'notas' field provides a clear, detailed, and internally consistent explanation for each decomposition and classification, demonstrating strong internal coherence (A4).</t>
  </si>
  <si>
    <t>The model correctly decomposes the input into four distinct, independent intentions, aligning with A1. It accurately infers the implicit 'ayer' (yesterday) for all requests (A3) and does not invent any information (A2). Each decomposed intention is correctly classified into its respective scenario ('consumo_basico', 'comparacion_consumos', 'deteccion_anomalias_tendencias') according to B1. Furthermore, the 'notas' field provides a clear, detailed, and internally consistent explanation for each classification, demonstrating strong internal coherence (A4).</t>
  </si>
  <si>
    <t>The model correctly decomposes the input into three independent requests, covering all aspects of the user's query without inventing information. The interpretation of intentions, such as retrieving current and past week's consumption and then comparing them, is accurate and aligns well with the input. Each identified request is correctly classified into its respective scenario (`consumo_basico` for individual consumption queries and `comparacion_consumos` for the comparison), which aligns with the expected scenario assignments. The 'notas' field provides a clear, coherent, and detailed explanation for each decomposed request and its scenario assignment, demonstrating strong internal consistency. While the decomposition is more granular than the Expected Output (separating the past week's consumption retrieval), this is a valid and well-justified approach, not an error.</t>
  </si>
  <si>
    <t>The model correctly decomposes the input into three distinct intentions, aligning perfectly with the Expected Output (A1). It does not invent any information (A2). Each decomposed intention is accurately classified into the correct scenario ('consumo_basico', 'comparacion_consumos', 'deteccion_anomalias_tendencias'), matching the Expected Output and demonstrating correct inference of implicit intentions (B1, A3). Furthermore, the 'notas' field provides a clear, detailed, and consistent justification for each request and its classification, showcasing strong internal coherence (A4).</t>
  </si>
  <si>
    <t>The model correctly identifies all necessary intentions from the input, including the implicit need to consult Sunday's consumption for the comparison. All identified intentions are accurately classified into their respective scenarios (`consumo_basico` and `comparacion_consumos`). The 'notas' field provides clear and consistent reasoning for the decomposition and classification. While the Actual Output decomposes the request into three explicit intentions (consult Saturday, consult Sunday, compare), whereas the Expected Output bundles the 'consult Sunday' into the comparison, this difference in granularity does not constitute a failure in decomposition (A1) or invention of information (A2). The model's output is internally coherent (A4) and correctly infers implicit intentions (A3), aligning with the criteria for a high score, though not a perfect 10 due to the slight deviation in decomposition granularity from the provided reference.</t>
  </si>
  <si>
    <t>The model correctly decomposes the input into three distinct intentions: obtaining the consumption for the fridge, obtaining the consumption for the television, and comparing these consumptions. It does not invent any information, accurately reflecting the user's query '¿Cuánto consumieron la nevera y el televisor ayer y cuál fue mayor?'. Each decomposed intention is correctly classified into its respective scenario (`consumo_basico` for individual consumption queries and `comparacion_consumos` for the comparison), aligning perfectly with the expected output. The 'notas' field provides a clear and coherent explanation for both the decomposition and the scenario classifications, demonstrating strong internal consistency.</t>
  </si>
  <si>
    <t>The model correctly decomposes the input into three distinct intentions, aligning with the Expected Output. It accurately identifies the implicit intention for the comparison to be for 'ayer' (yesterday) in the second request. All three intentions are correctly classified into their respective scenarios: 'consumo_basico' for the specific historical data, 'comparacion_consumos' for the explicit comparison, and 'entrada_inadmisible' for the request outside the system's domain of energy analysis. The 'notas' field provides clear, consistent, and detailed reasoning for each decomposition and classification, demonstrating strong internal coherence.</t>
  </si>
  <si>
    <t>The model successfully decomposes the input 'Dime el consumo del horno este mes, analiza si hay anomalías y dime si va en aumento' into three distinct, independent requests, without inventing any information. The inferred intentions for each request, such as 'Proporcionar el consumo energético del horno durante el mes actual' and 'Analizar el consumo histórico del horno para identificar comportamientos anómalos', align correctly with the expected output's interpretation. Furthermore, each request is accurately classified into the appropriate scenario ('consumo_basico' for the first, and 'deteccion_anomalias_tendencias' for the anomaly and trend analysis), demonstrating correct application of scenario rules. The 'notas' field provides a clear, coherent, and detailed explanation for each decomposition and scenario assignment, enhancing the overall quality of the response.</t>
  </si>
  <si>
    <t>The model correctly decomposes the input into two independent requests and accurately classifies both into their respective scenarios (`consumo_basico` and `entrada_inadmisible`), aligning with the `Expected Output` for scenario assignment. It does not invent information and provides clear, coherent notes, fulfilling criteria A1, A2, A4, and B1. While the `solicitud` for the second request (`@2`) differs slightly from the `Expected Output`, the model's interpretation ('Obtener consejo o análisis sobre si el usuario debe cambiar de carrera profesional actual') is arguably more faithful to the original `Input` ('dime si debería cambiar de carrera profesional') than the `Expected Output`'s version, which adds 'basado en el consumo energético' without explicit mention in the input. This demonstrates strong inference of user intent from the input, even if it doesn't perfectly match a potentially over-specified `Expected Output`.</t>
  </si>
  <si>
    <t>The model correctly decomposes the input into three independent requests and does not invent information, demonstrating strong performance on A1 and A2. The 'notas' field is exceptionally clear and coherent, fulfilling A4. Requests @1 and @3 are correctly interpreted and classified in alignment with the Expected Output. However, for request @2, the Actual Output interprets 'si ha aumentado este año' as a direct comparison, assigning it to the 'comparacion_consumos' scenario. This differs from the Expected Output's interpretation ('Analizar la tendencia anual') and its classification under 'deteccion_anomalias_tendencias'. While the Actual Output's interpretation for @2 is semantically strong, this divergence means it does not fully align with the Expected Output's interpretation (A3) and scenario classification (B1) for that specific request.</t>
  </si>
  <si>
    <t>The model correctly decomposes the input into three independent requests (A1) and accurately classifies each request into the correct scenario (B1). The 'notas' field provides a clear and coherent explanation for each mapping (A4). However, the interpretation of the third request, 'revisa si hubo picos', deviates from the expected output. The actual output broadens the scope to 'datos de consumo del hogar', whereas the expected output correctly infers the peaks should be related to the previously mentioned devices ('lavadora y horno'). This indicates a minor shortcoming in inferring the precise implicit intention (A3) and a slight invention of scope (A2) compared to the gold standard, preventing a score in the 8-10 range which requires A1-A4 to be fully correct.</t>
  </si>
  <si>
    <t xml:space="preserve"> {'@1': {'solicitud': 'Consultar el consumo energético total de la casa en kWh durante la semana pasada.', 'escenario': 'consumo_basico'}} | notas: La solicitud del usuario es clara y específica: desea conocer el consumo energético de su casa en un período de tiempo definido (la semana pasada). Esto encaja perfectamente en el escenario 'consumo_basico', ya que cumple con los criterios de consultar valores históricos de consumo energético dentro de un intervalo temporal explícito y esperar una respuesta cuantitativa única.</t>
  </si>
  <si>
    <t xml:space="preserve"> {'@1': {'solicitud': 'Muéstrame el consumo del ventilador el día de ayer.', 'escenario': 'consumo_basico'}} | notas: La solicitud del usuario cumple con los criterios del escenario 'consumo_basico' porque:
1. El usuario solicita un valor de consumo energético histórico (el día de ayer).
2. La consulta incluye un periodo de tiempo explícito (ayer).
3. La respuesta esperada es un valor cuantitativo único (consumo del ventilador en un día específico).
No se identifican elementos comparativos, de detección de anomalías, predicciones ni escenarios hipotéticos, por lo que no aplica a los otros escenarios.</t>
  </si>
  <si>
    <t xml:space="preserve"> {'@1': {'solicitud': '¿Cuál fue el consumo total de la casa durante marzo de 2024?', 'escenario': 'consumo_basico'}} | notas: La solicitud del usuario encaja en el escenario 'consumo_basico' porque:
1. El usuario solicita un valor de consumo energético histórico (marzo de 2024).
2. La consulta incluye un periodo de tiempo explícito (marzo de 2024).
3. La respuesta esperada es un valor cuantitativo único (consumo total de la casa).</t>
  </si>
  <si>
    <t xml:space="preserve"> {'@1': {'solicitud': 'Proporcionar el consumo energético de la lavadora el lunes pasado.', 'escenario': 'consumo_basico'}} | notas: La solicitud del usuario es clara y específica: desea conocer el consumo energético de un dispositivo (lavadora) en un período de tiempo concreto (el lunes pasado). Esto encaja perfectamente con el escenario 'consumo_basico', ya que cumple con los criterios de consultar un valor de consumo histórico para un dispositivo en un intervalo temporal explícito. No hay comparación, análisis de anomalías ni predicciones involucradas, por lo que no aplica a otros escenarios.</t>
  </si>
  <si>
    <t xml:space="preserve"> {'@1': {'solicitud': 'Consultar el consumo energético del televisor el sábado pasado.', 'escenario': 'consumo_basico'}, '@2': {'solicitud': 'Consultar el consumo energético del computador el sábado pasado.', 'escenario': 'consumo_basico'}} | notas: La solicitud del usuario fue segmentada en dos solicitudes individuales, cada una enfocada en un dispositivo específico (televisor y computador). Ambas solicitudes fueron categorizadas bajo el escenario 'consumo_basico' porque:
1. La intención principal es consultar valores de consumo energético históricos para dispositivos específicos.
2. El período de tiempo (sábado pasado) está claramente definido y es explícito.
3. La respuesta esperada es un valor cuantitativo único para cada dispositivo, sin necesidad de comparaciones, análisis de patrones o estimaciones futuras.</t>
  </si>
  <si>
    <t xml:space="preserve"> {'@1': {'solicitud': 'Consultar el consumo energético del ventilador durante la semana actual.', 'escenario': 'consumo_basico'}, '@2': {'solicitud': 'Consultar el consumo energético de la lavadora durante la semana pasada.', 'escenario': 'consumo_basico'}} | notas: - La primera solicitud ("consumo del ventilador esta semana") se categoriza como "consumo_basico" porque el usuario solicita un valor de consumo energético histórico para un dispositivo específico (ventilador) dentro de un intervalo temporal explícito (esta semana).
- La segunda solicitud ("consumo de la lavadora la semana pasada") también se categoriza como "consumo_basico" porque cumple con los mismos criterios: consulta de consumo histórico para un dispositivo (lavadora) en un periodo temporal claro (semana pasada).
- Ambas solicitudes buscan datos puntuales sin requerir comparaciones, análisis de patrones o estimaciones, lo que encaja perfectamente en el escenario "consumo_basico".</t>
  </si>
  <si>
    <t xml:space="preserve"> {'@1': {'solicitud': 'Muéstrame el consumo del horno en enero.', 'escenario': 'consumo_basico'}, '@2': {'solicitud': 'Muéstrame el consumo del horno en febrero.', 'escenario': 'consumo_basico'}} | notas: La solicitud del usuario fue segmentada en dos solicitudes independientes, cada una correspondiendo a un mes específico (enero y febrero). Ambas solicitudes fueron categorizadas bajo el escenario "consumo_basico" porque:
1. La intención principal es consultar valores de consumo energético históricos para un dispositivo específico (el horno).
2. Cada solicitud incluye un periodo de tiempo explícito (enero y febrero, respectivamente).
3. La respuesta esperada es un valor cuantitativo único para cada mes, lo que encaja con la descripción del escenario "consumo_basico".</t>
  </si>
  <si>
    <t xml:space="preserve"> {'@1': {'solicitud': 'Consultar el consumo energético de la nevera el domingo.', 'escenario': 'consumo_basico'}, '@2': {'solicitud': 'Consultar el consumo energético de la lavadora el domingo.', 'escenario': 'consumo_basico'}, '@3': {'solicitud': 'Consultar el consumo energético de la secadora el domingo.', 'escenario': 'consumo_basico'}} | notas: El escenario "consumo_basico" fue seleccionado para cada solicitud porque el usuario está solicitando valores de consumo energético históricos para dispositivos específicos (nevera, lavadora y secadora) en un período de tiempo claramente definido (el domingo). Cada solicitud es autocontenida y no implica comparaciones, análisis de patrones ni estimaciones futuras, lo que encaja perfectamente con la descripción del escenario "consumo_basico".</t>
  </si>
  <si>
    <t xml:space="preserve"> {'@1': {'solicitud': 'Dime el consumo de mi televisor ayer.', 'escenario': 'consumo_basico'}, '@2': {'solicitud': 'Dime si el consumo de mi televisor ayer fue moralmente correcto.', 'escenario': 'entrada_inadmisible'}} | notas: - La primera solicitud ("Dime el consumo de mi televisor ayer") se categoriza como "consumo_basico" porque el usuario está solicitando un valor de consumo energético histórico para un dispositivo específico (televisor) en un período de tiempo explícito (ayer). Esto encaja con los criterios del escenario "consumo_basico", ya que la intención es acceder a datos puntuales sin realizar comparaciones ni análisis adicionales.
- La segunda solicitud ("Dime si el consumo de mi televisor ayer fue moralmente correcto") se categoriza como "entrada_inadmisible" porque la consulta no está relacionada con el consumo energético en sí, sino con una evaluación moral, lo cual está fuera del dominio del sistema. No hay un escenario admitido que pueda procesar este tipo de solicitud.</t>
  </si>
  <si>
    <t xml:space="preserve"> {'@1': {'solicitud': 'Consultar el consumo energético total de la casa para los meses de junio, julio y agosto.', 'escenario': 'consumo_basico'}} | notas: La solicitud del usuario es clara y específica: desea conocer los valores de consumo energético de su casa para los meses de junio, julio y agosto. Esto encaja perfectamente en el escenario "consumo_basico" porque:
1. La intención principal es consultar valores de consumo energético históricos.
2. La consulta incluye un periodo de tiempo explícito (junio, julio y agosto).
3. La respuesta esperada es una serie temporal de valores cuantitativos (consumo por mes).
No hay elementos comparativos, de detección de anomalías, predicciones ni estimaciones, por lo que no aplica a los otros escenarios. Tampoco es una entrada inadmisible, ya que está directamente relacionada con el consumo energético del hogar.</t>
  </si>
  <si>
    <t xml:space="preserve"> {'@1': {'solicitud': '¿Cuánto consumió mi televisor ayer en la noche?', 'escenario': 'consumo_basico'}} | notas: La solicitud del usuario se categoriza bajo el escenario "consumo_basico" porque cumple con los criterios establecidos:
1. El usuario solicita un valor de consumo energético histórico (el consumo del televisor).
2. La consulta incluye un periodo de tiempo explícito (ayer en la noche).
3. La respuesta esperada es un valor cuantitativo único (el consumo en ese intervalo específico).
No se detectan elementos comparativos, de análisis de anomalías, predicciones o escenarios hipotéticos, por lo que no aplica a los otros escenarios. Tampoco es una entrada inadmisible, ya que está claramente relacionada con el consumo energético.</t>
  </si>
  <si>
    <t xml:space="preserve"> {'@1': {'solicitud': 'Consultar el consumo energético del aire acondicionado durante la mañana de ayer.', 'escenario': 'consumo_basico'}, '@2': {'solicitud': 'Consultar el consumo energético del aire acondicionado durante la noche de ayer.', 'escenario': 'consumo_basico'}} | notas: El escenario "consumo_basico" fue seleccionado para ambas solicitudes porque el usuario está solicitando valores de consumo energético históricos para un dispositivo específico (aire acondicionado) en intervalos de tiempo claramente definidos (mañana y noche de ayer). No hay comparación, análisis de anomalías, ni predicciones involucradas, solo una consulta de datos puntuales.</t>
  </si>
  <si>
    <t xml:space="preserve"> {'@1': {'solicitud': '¿Cuánto consumió el aire acondicionado el fin de semana pasado?', 'escenario': 'consumo_basico'}} | notas: La solicitud del usuario cumple con los criterios del escenario 'consumo_basico' porque:
1. La intención principal es consultar un valor de consumo energético específico (aire acondicionado).
2. El período de tiempo está claramente definido ("el fin de semana pasado").
3. La respuesta esperada es un valor cuantitativo único o una serie temporal de consumo para ese dispositivo en el período indicado.</t>
  </si>
  <si>
    <t xml:space="preserve"> {'@1': {'solicitud': '¿Cuánto consumió mi nevera durante el mes de enero?', 'escenario': 'consumo_basico'}} | notas: La solicitud del usuario cumple con los criterios del escenario 'consumo_basico' porque:
1. El usuario solicita un valor de consumo energético histórico (nevera durante enero).
2. La consulta incluye un periodo de tiempo explícito (mes de enero).
3. La respuesta esperada es un valor cuantitativo único (consumo total de la nevera en ese mes).
No se identifican elementos comparativos, de detección de anomalías, predicciones o escenarios hipotéticos, por lo que no aplica a los otros escenarios.</t>
  </si>
  <si>
    <t xml:space="preserve"> {'@1': {'solicitud': 'Consultar el consumo energético del computador para el día de hoy.', 'escenario': 'consumo_basico'}} | notas: La solicitud del usuario es clara y específica: desea conocer el consumo energético de su computador para el día de hoy. Esto encaja perfectamente en el escenario 'consumo_basico', ya que cumple con los criterios de consultar valores de consumo energético históricos (en este caso, el día actual), incluye un periodo de tiempo explícito (hoy) y la respuesta esperada es un valor cuantitativo único o una serie temporal para ese día.</t>
  </si>
  <si>
    <t xml:space="preserve"> {'@1': {'solicitud': '¿Cuál fue el consumo energético de mi horno el 15 de noviembre?', 'escenario': 'consumo_basico'}} | notas: La solicitud del usuario cumple con los criterios del escenario 'consumo_basico' porque:
1. El usuario solicita un valor de consumo energético histórico (el consumo del horno en una fecha específica).
2. La consulta incluye un periodo de tiempo explícito (15 de noviembre).
3. La respuesta esperada es un valor cuantitativo único (el consumo en esa fecha).
No se identifican elementos comparativos, análisis de anomalías, predicciones ni escenarios hipotéticos, por lo que no aplica a los otros escenarios.</t>
  </si>
  <si>
    <t xml:space="preserve"> {'@1': {'solicitud': 'Consultar el consumo energético de la nevera durante el día de ayer.', 'escenario': 'consumo_basico'}, '@2': {'solicitud': 'Consultar el consumo energético de la lavadora durante el día de ayer.', 'escenario': 'consumo_basico'}} | notas: - La solicitud del usuario se divide en dos solicitudes independientes, cada una enfocada en un dispositivo específico (nevera y lavadora).
- Ambas solicitudes cumplen con los criterios del escenario "consumo_basico" porque:
  1. La intención principal es consultar valores de consumo energético históricos.
  2. El periodo de tiempo (ayer) está claramente definido.
  3. La respuesta esperada es un valor cuantitativo único para cada dispositivo.
- No se requiere comparación, análisis de anomalías, ni predicciones, por lo que no se aplican otros escenarios.</t>
  </si>
  <si>
    <t xml:space="preserve"> {'@1': {'solicitud': '¿Cuánto consumió mi casa el lunes?', 'escenario': 'consumo_basico'}, '@2': {'solicitud': '¿Cuánto consumió mi casa el martes?', 'escenario': 'consumo_basico'}} | notas: Ambas solicitudes fueron categorizadas bajo el escenario 'consumo_basico' porque:
1. El usuario solicita valores de consumo energético históricos para días específicos (lunes y martes).
2. Cada consulta incluye un periodo de tiempo explícito (días concretos).
3. La respuesta esperada es un valor cuantitativo único para cada día, sin requerir comparaciones, análisis de patrones o estimaciones futuras.</t>
  </si>
  <si>
    <t xml:space="preserve"> {'@1': {'solicitud': '¿Qué tan feliz estuvo mi casa ayer con el consumo de energía?', 'escenario': 'entrada_inadmisible'}} | notas: La solicitud del usuario no está relacionada con el consumo energético en términos cuantitativos o analíticos, sino que utiliza un lenguaje metafórico ("feliz") que no puede ser mapeado a ninguno de los escenarios admitidos por el sistema. Por lo tanto, se categoriza como 'entrada_inadmisible'.</t>
  </si>
  <si>
    <t xml:space="preserve"> {'@1': {'solicitud': 'Consultar el consumo energético de la PC, el monitor y el router para el día de ayer.', 'escenario': 'consumo_basico'}} | notas: La solicitud del usuario se centra en obtener valores específicos de consumo energético para tres dispositivos (PC, monitor y router) durante un período de tiempo claramente definido (ayer). Esto encaja perfectamente en el escenario 'consumo_basico', ya que cumple con los criterios de consultar datos históricos de consumo energético dentro de un intervalo temporal explícito y esperar una respuesta cuantitativa. No hay elementos comparativos, predictivos ni de detección de anomalías en la solicitud.</t>
  </si>
  <si>
    <t xml:space="preserve"> {'@1': {'solicitud': 'Proporcionar el consumo energético del ventilador durante el día de ayer.', 'escenario': 'consumo_basico'}, '@2': {'solicitud': 'Identificar si hubo algún pico de consumo anómalo en el ventilador durante el día de ayer.', 'escenario': 'deteccion_anomalias_tendencias'}} | notas: - La primera solicitud se categorizó como "consumo_basico" porque el usuario solicita un valor específico de consumo energético (el del ventilador) para un período de tiempo definido (ayer), lo cual encaja con la descripción de consultar datos históricos sin análisis adicionales.
- La segunda solicitud se categorizó como "deteccion_anomalias_tendencias" porque el usuario menciona explícitamente la búsqueda de "picos extraños", lo que sugiere un interés en identificar comportamientos anómalos en el consumo energético, alineándose con la descripción de este escenario.</t>
  </si>
  <si>
    <t xml:space="preserve"> {'@1': {'solicitud': 'Dime el consumo del aire acondicionado esta semana.', 'escenario': 'consumo_basico'}, '@2': {'solicitud': 'Compáralo con la semana pasada.', 'escenario': 'comparacion_consumos'}} | notas: - La primera solicitud ("Dime el consumo del aire acondicionado esta semana") se categoriza como "consumo_basico" porque el usuario está solicitando un valor de consumo energético histórico para un dispositivo específico (aire acondicionado) dentro de un intervalo temporal explícito (esta semana).
- La segunda solicitud ("Compáralo con la semana pasada") se categoriza como "comparacion_consumos" porque el usuario está pidiendo comparar dos consumos (esta semana vs. la semana pasada), lo que implica un análisis comparativo explícito.</t>
  </si>
  <si>
    <t xml:space="preserve"> {'@1': {'solicitud': '¿Cuánto consumió mi PC ayer?', 'escenario': 'consumo_basico'}, '@2': {'solicitud': '¿Ha venido aumentando su consumo este mes?', 'escenario': 'deteccion_anomalias_tendencias'}} | notas: - Para la primera solicitud, se identificó que el usuario pide un valor de consumo energético histórico (ayer) para un dispositivo específico (PC), lo que encaja con el escenario "consumo_basico".
- Para la segunda solicitud, se detectó que el usuario busca identificar una tendencia sostenida (aumento de consumo) en un período de tiempo (este mes), lo que corresponde al escenario "deteccion_anomalias_tendencias".</t>
  </si>
  <si>
    <t xml:space="preserve"> {'@1': {'solicitud': 'Dime el consumo del televisor ayer.', 'escenario': 'consumo_basico'}, '@2': {'solicitud': 'Analiza si el consumo del televisor va en aumento.', 'escenario': 'deteccion_anomalias_tendencias'}} | notas: - La primera solicitud ("Dime el consumo del televisor ayer") se categoriza como "consumo_basico" porque el usuario solicita un valor de consumo energético histórico para un dispositivo específico (televisor) en un período de tiempo explícito (ayer). Esto encaja con los criterios del escenario "consumo_basico", ya que la respuesta esperada es un valor cuantitativo único.
- La segunda solicitud ("Analiza si el consumo del televisor va en aumento") se categoriza como "deteccion_anomalias_tendencias" porque el usuario busca identificar una tendencia sostenida en el consumo energético del televisor. Esto se alinea con los criterios del escenario "deteccion_anomalias_tendencias", ya que implica analizar patrones temporales para detectar aumentos sostenidos.</t>
  </si>
  <si>
    <t xml:space="preserve"> {'@1': {'solicitud': 'Dime el consumo del aire acondicionado ayer.', 'escenario': 'consumo_basico'}, '@2': {'solicitud': 'Dime si eso significa que soy irresponsable.', 'escenario': 'entrada_inadmisible'}} | notas: - La primera solicitud ("Dime el consumo del aire acondicionado ayer") se categoriza como "consumo_basico" porque el usuario está solicitando un valor de consumo energético histórico para un dispositivo específico (aire acondicionado) en un período de tiempo explícito (ayer). Esto encaja con los criterios del escenario "consumo_basico", ya que la intención es acceder a datos puntuales sin realizar comparaciones o análisis adicionales.
- La segunda solicitud ("Dime si eso significa que soy irresponsable") se categoriza como "entrada_inadmisible" porque, aunque está relacionada con el consumo energético, la pregunta sobre la responsabilidad del usuario no es una acción que el sistema esté diseñado para interpretar o procesar. No se ajusta a ninguno de los escenarios admitidos, ya que no implica consulta de datos, comparación, detección de anomalías ni predicción.</t>
  </si>
  <si>
    <t xml:space="preserve"> {'@1': {'solicitud': 'Proporcionar el consumo total de energía de la casa.', 'escenario': 'consumo_basico'}, '@2': {'solicitud': 'Determinar si el consumo energético de la casa ha ido aumentando a lo largo del año.', 'escenario': 'deteccion_anomalias_tendencias'}} | notas: - Para la primera solicitud, se identificó que el usuario pide un valor de consumo energético histórico (total de la casa), lo que encaja con el escenario "consumo_basico".
- Para la segunda solicitud, se detectó que el usuario busca analizar una tendencia sostenida (aumento del consumo a lo largo del año), lo que corresponde al escenario "deteccion_anomalias_tendencias".</t>
  </si>
  <si>
    <t xml:space="preserve"> {'@1': {'solicitud': '¿Cuánto consumió mi nevera ayer?', 'escenario': 'consumo_basico'}, '@2': {'solicitud': '¿Cuál consumió más, la nevera o el horno?', 'escenario': 'comparacion_consumos'}} | notas: - Para la primera solicitud, se identificó que el usuario busca un valor de consumo energético histórico (ayer) para un dispositivo específico (nevera), lo que encaja con el escenario "consumo_basico".
- Para la segunda solicitud, se detectó una comparación explícita entre dos dispositivos (nevera y horno), lo que corresponde al escenario "comparacion_consumos".</t>
  </si>
  <si>
    <t xml:space="preserve"> {'@1': {'solicitud': 'Obtén el consumo del televisor ayer.', 'escenario': 'consumo_basico'}, '@2': {'solicitud': 'Obtén el consumo del televisor hoy.', 'escenario': 'consumo_basico'}, '@3': {'solicitud': 'Compara el consumo del televisor de ayer con el de hoy.', 'escenario': 'comparacion_consumos'}} | notas: - La primera solicitud ("Obtén el consumo del televisor ayer") se categorizó como "consumo_basico" porque el usuario está solicitando un valor de consumo energético histórico para un dispositivo específico (televisor) en un período de tiempo explícito (ayer).
- La segunda solicitud ("Obtén el consumo del televisor hoy") también se categorizó como "consumo_basico" por la misma razón, pero para el día actual (hoy).
- La tercera solicitud ("Compara el consumo del televisor de ayer con el de hoy") se categorizó como "comparacion_consumos" porque el usuario está pidiendo una comparación explícita entre dos consumos (ayer y hoy) para identificar diferencias.</t>
  </si>
  <si>
    <t xml:space="preserve"> {'@1': {'solicitud': 'Dime el consumo de mi nevera ayer.', 'escenario': 'consumo_basico'}, '@2': {'solicitud': 'Compáralo con el consumo del sábado pasado.', 'escenario': 'comparacion_consumos'}} | notas: - Para la primera solicitud, se identificó que el usuario pide un valor de consumo energético histórico (el consumo de la nevera ayer), lo cual encaja con el escenario "consumo_basico" ya que se trata de una consulta puntual de datos sin análisis adicional.
- Para la segunda solicitud, se detectó una intención comparativa explícita (comparar el consumo de ayer con el del sábado pasado), lo que corresponde al escenario "comparacion_consumos" debido al uso de términos comparativos y la necesidad de analizar diferencias entre dos periodos de tiempo.</t>
  </si>
  <si>
    <t xml:space="preserve"> {'@1': {'solicitud': 'Dime el consumo del horno ayer.', 'escenario': 'consumo_basico'}, '@2': {'solicitud': 'Dime si el consumo del horno ayer fue anormal.', 'escenario': 'deteccion_anomalias_tendencias'}} | notas: - La primera solicitud ("Dime el consumo del horno ayer") se categoriza como "consumo_basico" porque el usuario está solicitando un valor de consumo energético histórico para un dispositivo específico (horno) en un período de tiempo explícito (ayer). Esto encaja con la descripción del escenario, ya que no implica comparaciones, análisis de patrones ni estimaciones futuras.
- La segunda solicitud ("Dime si el consumo del horno ayer fue anormal") se categoriza como "deteccion_anomalias_tendencias" porque el usuario está preguntando sobre la normalidad del consumo, lo que implica un análisis para detectar comportamientos anómalos o irregulares en el consumo energético. Esto se alinea con la descripción del escenario, ya que busca identificar picos o consumos fuera de lo habitual.</t>
  </si>
  <si>
    <t xml:space="preserve"> {'@1': {'solicitud': 'Dime el consumo del aire acondicionado la semana pasada.', 'escenario': 'consumo_basico'}, '@2': {'solicitud': 'Analiza si hubo anomalías en el consumo del aire acondicionado la semana pasada.', 'escenario': 'deteccion_anomalias_tendencias'}} | notas: - La primera solicitud ("Dime el consumo del aire acondicionado la semana pasada") se categoriza como "consumo_basico" porque el usuario está solicitando un valor de consumo energético histórico para un dispositivo específico (aire acondicionado) dentro de un intervalo temporal explícito (la semana pasada). Esto encaja con los criterios del escenario "consumo_basico", ya que la respuesta esperada es un valor cuantitativo único o una serie temporal sin análisis adicional.
- La segunda solicitud ("analiza si hubo anomalías en el consumo del aire acondicionado la semana pasada") se categoriza como "deteccion_anomalias_tendencias" porque el usuario está pidiendo un análisis para identificar comportamientos anómalos en el consumo energético. Esto coincide con los criterios del escenario "deteccion_anomalias_tendencias", ya que se busca detectar picos o irregularidades en los datos históricos.</t>
  </si>
  <si>
    <t xml:space="preserve"> {'@1': {'solicitud': 'Proporcionar el consumo energético del horno durante el mes actual.', 'escenario': 'consumo_basico'}, '@2': {'solicitud': 'Analizar si hay anomalías en el consumo del horno durante el mes actual.', 'escenario': 'deteccion_anomalias_tendencias'}} | notas: - La primera solicitud se categorizó como "consumo_basico" porque el usuario pide un valor de consumo energético histórico (este mes) para un dispositivo específico (horno), lo cual encaja con la descripción de consultar datos puntuales o históricos sin análisis adicionales.
- La segunda solicitud se categorizó como "deteccion_anomalias_tendencias" porque el usuario busca identificar comportamientos anómalos en el consumo del horno, lo cual corresponde a la detección de picos o irregularidades en los datos históricos.</t>
  </si>
  <si>
    <t xml:space="preserve"> {'@1': {'solicitud': 'Consultar el consumo energético total de mi casa para el mes actual.', 'escenario': 'consumo_basico'}, '@2': {'solicitud': 'Comparar el consumo energético total de mi casa entre el mes actual y el mes pasado para determinar si hubo un aumento.', 'escenario': 'comparacion_consumos'}} | notas: - Para la primera solicitud, se identificó que el usuario busca un valor cuantitativo específico (consumo del mes actual), lo que encaja con el escenario "consumo_basico".
- La segunda solicitud implica una comparación explícita entre dos periodos (mes actual vs. mes pasado), lo que corresponde al escenario "comparacion_consumos".</t>
  </si>
  <si>
    <t xml:space="preserve"> {'@1': {'solicitud': '¿Cuánto consumió la lavadora el sábado?', 'escenario': 'consumo_basico'}, '@2': {'solicitud': '¿El consumo de la lavadora el sábado fue más que el domingo?', 'escenario': 'comparacion_consumos'}} | notas: - La primera solicitud ("¿Cuánto consumió la lavadora el sábado?") se categoriza como "consumo_basico" porque el usuario está solicitando un valor de consumo energético histórico para un dispositivo específico (lavadora) en un día concreto (sábado). Esto encaja con la descripción del escenario, ya que se trata de una consulta puntual de datos históricos sin análisis comparativo.
- La segunda solicitud ("¿El consumo de la lavadora el sábado fue más que el domingo?") se categoriza como "comparacion_consumos" porque el usuario está comparando el consumo energético de la lavadora entre dos días distintos (sábado y domingo). Esto cumple con los criterios del escenario, ya que se utiliza un término comparativo explícito ("más que") y se busca analizar diferencias entre dos periodos de tiempo.</t>
  </si>
  <si>
    <t xml:space="preserve"> {'@1': {'solicitud': 'Proporcionar el consumo energético del ventilador durante el mes actual.', 'escenario': 'consumo_basico'}, '@2': {'solicitud': 'Analizar si la tendencia de consumo del ventilador durante el mes actual es creciente.', 'escenario': 'deteccion_anomalias_tendencias'}} | notas: - La primera solicitud se categorizó como "consumo_basico" porque el usuario pide un valor específico de consumo energético (ventilador) en un período de tiempo definido (este mes), lo que encaja con la descripción de consultar datos históricos sin análisis adicional.
- La segunda solicitud se categorizó como "deteccion_anomalias_tendencias" porque el usuario solicita identificar una tendencia (creciente) en el consumo, lo que implica un análisis de patrones temporales y no solo una consulta de datos puntuales.</t>
  </si>
  <si>
    <t xml:space="preserve"> {'@1': {'solicitud': 'Consultar el consumo energético total de la casa durante el mes de noviembre.', 'escenario': 'consumo_basico'}, '@2': {'solicitud': 'Consultar el consumo energético total de la casa durante el mes de octubre.', 'escenario': 'consumo_basico'}, '@3': {'solicitud': 'Comparar los consumos energéticos totales de la casa entre los meses de noviembre y octubre.', 'escenario': 'comparacion_consumos'}} | notas: - La primera solicitud se categorizó como "consumo_basico" porque el usuario solicita un valor de consumo energético histórico para un período específico (noviembre).
- La segunda solicitud también se categorizó como "consumo_basico" por la misma razón, pero para otro período específico (octubre).
- La tercera solicitud se categorizó como "comparacion_consumos" porque el usuario pide comparar los consumos de dos meses distintos, lo que implica un análisis comparativo explícito.</t>
  </si>
  <si>
    <t xml:space="preserve"> {'@1': {'solicitud': 'Dime el consumo del aire acondicionado esta semana.', 'escenario': 'consumo_basico'}, '@2': {'solicitud': 'Compáralo con la semana anterior.', 'escenario': 'comparacion_consumos'}, '@3': {'solicitud': 'Analiza la tendencia de consumo del aire acondicionado.', 'escenario': 'deteccion_anomalias_tendencias'}} | notas: - La primera solicitud ("Dime el consumo del aire acondicionado esta semana") se categoriza como "consumo_basico" porque el usuario está solicitando un valor de consumo energético histórico para un dispositivo específico (aire acondicionado) dentro de un intervalo temporal explícito (esta semana).
- La segunda solicitud ("Compáralo con la semana anterior") se categoriza como "comparacion_consumos" porque el usuario está pidiendo comparar dos consumos (esta semana vs. la semana anterior) y se requiere analizar diferencias relativas.
- La tercera solicitud ("Analiza la tendencia de consumo del aire acondicionado") se categoriza como "deteccion_anomalias_tendencias" porque el usuario está buscando identificar patrones o tendencias en el consumo energético del aire acondicionado, lo que implica un análisis de datos históricos.</t>
  </si>
  <si>
    <t xml:space="preserve"> {'@1': {'solicitud': 'Consultar el consumo energético de la nevera durante el día de ayer.', 'escenario': 'consumo_basico'}, '@2': {'solicitud': 'Consultar el consumo energético de la lavadora durante el día de ayer.', 'escenario': 'consumo_basico'}, '@3': {'solicitud': 'Comparar el consumo energético de la nevera y la lavadora durante el día de ayer.', 'escenario': 'comparacion_consumos'}, '@4': {'solicitud': 'Analizar si hubo algún consumo anómalo o extraño en la nevera o la lavadora durante el día de ayer.', 'escenario': 'deteccion_anomalias_tendencias'}} | notas: - La primera solicitud (@1) se categorizó como "consumo_basico" porque el usuario solicita un valor de consumo energético histórico para un dispositivo específico (nevera) en un período de tiempo explícito (ayer).
- La segunda solicitud (@2) también se categorizó como "consumo_basico" por la misma razón, pero para otro dispositivo (lavadora).
- La tercera solicitud (@3) se categorizó como "comparacion_consumos" porque el usuario pide comparar dos consumos específicos (nevera y lavadora) en el mismo período de tiempo.
- La cuarta solicitud (@4) se categorizó como "deteccion_anomalias_tendencias" porque el usuario busca identificar comportamientos anómalos o irregulares en los consumos de los dispositivos mencionados.</t>
  </si>
  <si>
    <t xml:space="preserve"> {'@1': {'solicitud': 'Dime el consumo del horno este mes.', 'escenario': 'consumo_basico'}, '@2': {'solicitud': 'Analiza si hay anomalías en el consumo del horno este mes.', 'escenario': 'deteccion_anomalias_tendencias'}, '@3': {'solicitud': 'Dime si el consumo del horno va en aumento este mes.', 'escenario': 'deteccion_anomalias_tendencias'}} | notas: - La primera solicitud ("Dime el consumo del horno este mes") se categoriza como "consumo_basico" porque el usuario está solicitando un valor de consumo energético histórico para un dispositivo específico (horno) dentro de un período de tiempo explícito (este mes).
- La segunda solicitud ("Analiza si hay anomalías en el consumo del horno este mes") se categoriza como "deteccion_anomalias_tendencias" porque el usuario está pidiendo un análisis de comportamientos anómalos en el consumo energético del horno.
- La tercera solicitud ("Dime si el consumo del horno va en aumento este mes") también se categoriza como "deteccion_anomalias_tendencias" porque el usuario está interesado en identificar una tendencia sostenida (aumento) en el consumo energético del horno.</t>
  </si>
  <si>
    <t xml:space="preserve"> {'@1': {'solicitud': 'Proporcionar el consumo energético del ventilador durante el día de ayer.', 'escenario': 'consumo_basico'}, '@2': {'solicitud': 'Proporcionar el consumo energético del PC durante el día de hoy.', 'escenario': 'consumo_basico'}, '@3': {'solicitud': 'Comparar el consumo energético del ventilador de ayer con el del PC de hoy.', 'escenario': 'comparacion_consumos'}} | notas: - La primera solicitud ("consumo del ventilador ayer") se categorizó como "consumo_basico" porque el usuario solicita un valor histórico de consumo energético para un dispositivo específico en un período de tiempo claro (ayer).
- La segunda solicitud ("consumo del PC hoy") también se categorizó como "consumo_basico" ya que el usuario pide un valor de consumo energético para otro dispositivo en un período de tiempo explícito (hoy).
- La tercera solicitud ("comparación entre ambos") se categorizó como "comparacion_consumos" porque el usuario pide comparar dos consumos distintos (ventilador de ayer vs. PC de hoy), lo que implica un análisis comparativo entre dos valores de consumo energético.</t>
  </si>
  <si>
    <t xml:space="preserve"> {'@1': {'solicitud': 'Consultar el consumo energético de mi PC durante la semana actual.', 'escenario': 'consumo_basico'}, '@2': {'solicitud': 'Consultar el consumo energético de mi PC durante la semana pasada.', 'escenario': 'consumo_basico'}, '@3': {'solicitud': 'Comparar el consumo energético de mi PC entre la semana actual y la semana pasada.', 'escenario': 'comparacion_consumos'}} | notas: - La primera solicitud ("@1") se categoriza como "consumo_basico" porque el usuario solicita un valor de consumo energético histórico para un dispositivo específico (PC) en un período de tiempo explícito (esta semana).
- La segunda solicitud ("@2") también se categoriza como "consumo_basico" por la misma razón, pero para un período de tiempo diferente (semana pasada).
- La tercera solicitud ("@3") se categoriza como "comparacion_consumos" porque el usuario pide comparar dos consumos (semana actual vs. semana pasada) y se requiere analizar las diferencias entre ellos.</t>
  </si>
  <si>
    <t xml:space="preserve"> {'@1': {'solicitud': '¿Cuánto consumió mi nevera ayer?', 'escenario': 'consumo_basico'}, '@2': {'solicitud': 'Compárala con la lavadora', 'escenario': 'comparacion_consumos'}, '@3': {'solicitud': 'Dime si hay picos raros', 'escenario': 'deteccion_anomalias_tendencias'}} | notas: - La primera solicitud ("¿Cuánto consumió mi nevera ayer?") se categoriza como "consumo_basico" porque el usuario está solicitando un valor de consumo energético histórico para un dispositivo específico (nevera) en un período de tiempo explícito (ayer).
- La segunda solicitud ("Compárala con la lavadora") se categoriza como "comparacion_consumos" porque el usuario está pidiendo comparar el consumo energético entre dos dispositivos (nevera y lavadora).
- La tercera solicitud ("Dime si hay picos raros") se categoriza como "deteccion_anomalias_tendencias" porque el usuario está interesado en identificar comportamientos anómalos o picos de consumo en los datos históricos.</t>
  </si>
  <si>
    <t xml:space="preserve"> {'@1': {'solicitud': '¿Cuánto consumió mi casa en octubre?', 'escenario': 'consumo_basico'}, '@2': {'solicitud': '¿Cómo se compara el consumo de octubre con el de noviembre?', 'escenario': 'comparacion_consumos'}, '@3': {'solicitud': '¿Hubo algún pico raro en el consumo durante octubre o noviembre?', 'escenario': 'deteccion_anomalias_tendencias'}} | notas: - La primera solicitud ("¿Cuánto consumió mi casa en octubre?") se categorizó como "consumo_basico" porque busca un valor cuantitativo específico de consumo energético en un período de tiempo definido (octubre), sin requerir comparaciones ni análisis adicionales.
- La segunda solicitud ("¿Cómo se compara el consumo de octubre con el de noviembre?") se categorizó como "comparacion_consumos" porque implica una comparación explícita entre dos períodos de tiempo (octubre y noviembre) para identificar diferencias en el consumo.
- La tercera solicitud ("¿Hubo algún pico raro en el consumo durante octubre o noviembre?") se categorizó como "deteccion_anomalias_tendencias" porque busca identificar comportamientos anómalos o picos en el consumo energético, lo que requiere un análisis de patrones temporales.</t>
  </si>
  <si>
    <t xml:space="preserve"> {'@1': {'solicitud': 'Dime el consumo de mi nevera ayer.', 'escenario': 'consumo_basico'}, '@2': {'solicitud': 'Compárala con la lavadora.', 'escenario': 'comparacion_consumos'}, '@3': {'solicitud': 'Dime si con eso ya puedo ahorrar para irme de viaje.', 'escenario': 'entrada_inadmisible'}} | notas: - La primera solicitud ("Dime el consumo de mi nevera ayer") se categoriza como "consumo_basico" porque el usuario está solicitando un valor de consumo energético histórico para un dispositivo específico (nevera) en un período de tiempo explícito (ayer).
- La segunda solicitud ("Compárala con la lavadora") se categoriza como "comparacion_consumos" porque el usuario está pidiendo comparar el consumo energético entre dos dispositivos (nevera y lavadora), lo que implica un análisis comparativo.
- La tercera solicitud ("Dime si con eso ya puedo ahorrar para irme de viaje") se categoriza como "entrada_inadmisible" porque, aunque está relacionada con el consumo energético, la intención principal (evaluar si el ahorro es suficiente para un viaje) está fuera del dominio del sistema, que se centra en el consumo energético del hogar.</t>
  </si>
  <si>
    <t xml:space="preserve"> {'@1': {'solicitud': 'Consultar el consumo energético de la lavadora el lunes.', 'escenario': 'consumo_basico'}, '@2': {'solicitud': 'Consultar el consumo energético de la lavadora el martes.', 'escenario': 'consumo_basico'}, '@3': {'solicitud': 'Comparar el consumo energético de la lavadora entre el lunes y el martes.', 'escenario': 'comparacion_consumos'}} | notas: - La primera solicitud ("Consultar el consumo energético de la lavadora el lunes") se categoriza como "consumo_basico" porque el usuario está solicitando un valor de consumo energético histórico para un día específico (lunes), lo que encaja con la descripción de consultar datos puntuales o históricos sin análisis adicional.
- La segunda solicitud ("Consultar el consumo energético de la lavadora el martes") también se categoriza como "consumo_basico" por la misma razón, ya que se trata de una consulta de consumo histórico para otro día específico (martes).
- La tercera solicitud ("Comparar el consumo energético de la lavadora entre el lunes y el martes") se categoriza como "comparacion_consumos" porque el usuario está pidiendo una comparación explícita entre dos días, lo que implica analizar diferencias relativas o absolutas entre los consumos.</t>
  </si>
  <si>
    <t xml:space="preserve"> {'@1': {'solicitud': 'Consultar el consumo energético de la nevera y el televisor durante el día de ayer.', 'escenario': 'consumo_basico'}, '@2': {'solicitud': 'Comparar los consumos energéticos de la nevera y el televisor para determinar cuál fue mayor durante el día de ayer.', 'escenario': 'comparacion_consumos'}} | notas: - La primera solicitud se categorizó como "consumo_basico" porque el usuario solicita valores específicos de consumo energético para dos dispositivos (nevera y televisor) en un período de tiempo explícito (ayer). Esto encaja con la descripción del escenario, ya que se trata de una consulta de datos históricos sin análisis adicional.
- La segunda solicitud se categorizó como "comparacion_consumos" porque el usuario pide comparar los consumos de los dos dispositivos para determinar cuál fue mayor. Esto implica un análisis comparativo explícito, lo que se ajusta al escenario de comparación de consumos.</t>
  </si>
  <si>
    <t xml:space="preserve"> {'@1': {'solicitud': 'Proporcionar el consumo total de energía de la casa para el año actual.', 'escenario': 'consumo_basico'}, '@2': {'solicitud': 'Comparar el consumo total de energía de la casa entre el año actual y el año anterior para determinar si ha aumentado.', 'escenario': 'comparacion_consumos'}, '@3': {'solicitud': 'Identificar días con consumos energéticos anómalos en el año actual.', 'escenario': 'deteccion_anomalias_tendencias'}} | notas: - La primera solicitud se categorizó como "consumo_basico" porque el usuario solicita un valor de consumo energético histórico para un período de tiempo explícito (el año actual).
- La segunda solicitud se categorizó como "comparacion_consumos" porque el usuario pide comparar el consumo energético entre dos períodos de tiempo distintos (año actual vs. año anterior) para identificar diferencias.
- La tercera solicitud se categorizó como "deteccion_anomalias_tendencias" porque el usuario busca identificar días con consumos energéticos anómalos, lo que implica analizar patrones temporales para detectar irregularidades.</t>
  </si>
  <si>
    <t xml:space="preserve"> {'@1': {'solicitud': '¿Cuánto consumió el aire acondicionado ayer?', 'escenario': 'consumo_basico'}, '@2': {'solicitud': '¿Cómo se compara el consumo del aire acondicionado de ayer con el de la semana pasada?', 'escenario': 'comparacion_consumos'}, '@3': {'solicitud': '¿Qué tendencia tiene el consumo del aire acondicionado?', 'escenario': 'deteccion_anomalias_tendencias'}} | notas: - Para la primera solicitud, se identificó que el usuario busca un valor puntual de consumo energético (ayer), lo que encaja en el escenario "consumo_basico".
- La segunda solicitud implica una comparación explícita entre dos periodos (ayer y la semana pasada), por lo que se categorizó como "comparacion_consumos".
- La tercera solicitud busca analizar una tendencia en el consumo, lo que corresponde al escenario "deteccion_anomalias_tendencias".</t>
  </si>
  <si>
    <t xml:space="preserve"> {'@1': {'solicitud': 'Dime el consumo de mi lavadora el fin de semana', 'escenario': 'consumo_basico'}, '@2': {'solicitud': 'Compárala con el horno', 'escenario': 'comparacion_consumos'}, '@3': {'solicitud': 'Revisa si hubo picos', 'escenario': 'deteccion_anomalias_tendencias'}} | notas: - Para la primera solicitud, se identificó que el usuario pide un valor de consumo energético histórico para un dispositivo específico (lavadora) en un período de tiempo claro (fin de semana), lo que encaja con el escenario "consumo_basico".
- La segunda solicitud implica una comparación explícita entre dos dispositivos (lavadora y horno), lo que corresponde al escenario "comparacion_consumos".
- La tercera solicitud busca detectar anomalías o picos en el consumo, lo que se ajusta al escenario "deteccion_anomalias_tendencias".</t>
  </si>
  <si>
    <t xml:space="preserve"> {'@1': {'solicitud': 'Dime el consumo del televisor ayer.', 'escenario': 'consumo_basico'}, '@2': {'solicitud': '¿Debería cambiar de carrera profesional?', 'escenario': 'entrada_inadmisible'}} | notas: - La primera solicitud ("Dime el consumo del televisor ayer") se categorizó como "consumo_basico" porque cumple con los criterios de consultar un valor de consumo energético histórico para un dispositivo específico (televisor) en un intervalo temporal explícito (ayer).
- La segunda solicitud ("¿Debería cambiar de carrera profesional?") se categorizó como "entrada_inadmisible" porque no está relacionada con el consumo energético del hogar y no corresponde a ninguno de los escenarios admitidos por el sistema.</t>
  </si>
  <si>
    <t>The model correctly decomposes the input 'Dime cuántos kWh consumió mi casa la semana pasada' into a single, accurate intention: 'Consultar el consumo energético total de la casa en kWh durante la semana pasada.' This aligns perfectly with the expected output's decomposition (A1, A2). The assigned scenario 'consumo_basico' is correct and matches the expected classification (B1). Furthermore, the 'notas' field provides a clear and consistent explanation for the classification, demonstrating strong internal coherence (A4). No information was invented, and implicit intentions were correctly inferred (A3).</t>
  </si>
  <si>
    <t>El modelo descompone correctamente la solicitud del usuario en una única intención, sin inventar información. La clasificación del escenario como 'consumo_basico' es correcta y coincide con el Expected Output. Además, las 'notas' proporcionan un razonamiento claro y coherente que justifica la clasificación, mencionando la solicitud de un valor histórico explícito y la ausencia de otros elementos complejos.</t>
  </si>
  <si>
    <t>El modelo descompone correctamente la única intención del usuario sin inventar información, manteniendo la solicitud original. La clasificación del escenario como 'consumo_basico' es precisa y coincide con el Expected Output. Además, las 'notas' del Actual Output proporcionan un razonamiento claro y coherente, justificando la clasificación al mencionar la solicitud de consumo energético histórico para 'marzo de 2024' y la expectativa de un valor cuantitativo único.</t>
  </si>
  <si>
    <t>The model correctly decomposes the input into a single, independent intention (A1) without inventing information (A2). The assigned scenario classification 'consumo_basico' is correct according to the context (B1), aligning with the Expected Output. The 'notas' field provides a clear, consistent, and detailed explanation for the classification, demonstrating strong internal coherence (A4). The slight difference in verb in the 'solicitud' ('Proporcionar' vs 'Consultar') does not alter the semantic meaning of the request, which is to retrieve historical consumption data for the washing machine on the specified day.</t>
  </si>
  <si>
    <t>The model correctly decomposes the input into two individual, independent intentions for the television and the computer, matching the Expected Output exactly. It does not invent any information. Both intentions are correctly classified under the 'consumo_basico' scenario, which aligns with the Expected Output and the detailed, accurate reasoning provided in the 'notas' field. The internal coherence is excellent, with the 'notas' clearly justifying the decomposition and classification based on the nature of the query (historical energy consumption for specific devices with a defined period).</t>
  </si>
  <si>
    <t>The model correctly decomposes the input into two independent intentions, 'Consultar el consumo energético del ventilador durante la semana actual' and 'Consultar el consumo energético de la lavadora durante la semana pasada', without inventing any information. Both intentions are accurately classified under the 'consumo_basico' scenario, aligning perfectly with the Expected Output. The 'notas' field provides clear, consistent, and detailed reasoning for these classifications, demonstrating strong internal coherence. All criteria (A1-A4 and B1) are met successfully.</t>
  </si>
  <si>
    <t>The model correctly decomposes the input 'Muéstrame el consumo del horno en enero y en febrero' into two independent intentions, one for January and one for February, aligning with the Expected Output's decomposition (A1). It does not invent any information (A2) and correctly infers the implicit separate requests for each month (A3). Both decomposed intentions are correctly classified as 'consumo_basico', matching the Expected Output (B1). Furthermore, the 'notas' field provides a clear, detailed, and internally consistent explanation for both the decomposition and the scenario classification (A4).</t>
  </si>
  <si>
    <t>The model correctly decomposes the input 'Quiero saber el consumo de mi nevera, mi lavadora y mi secadora el domingo' into three distinct, independent intentions, one for each appliance, all requesting 'consumo_basico' for 'el domingo'. This aligns perfectly with the Expected Output, demonstrating correct decomposition (A1) and no invention of information (A2). Each intention is correctly classified as 'consumo_basico' (B1), matching the Expected Output. The model also correctly infers the implicit intention to query each appliance separately (A3). Furthermore, the 'notas' field provides a clear and consistent explanation for the chosen scenario, demonstrating strong internal coherence (A4).</t>
  </si>
  <si>
    <t>The model correctly decomposes the input into two independent intentions, 'Dime el consumo de mi televisor ayer' and 'Dime si el consumo de mi televisor ayer fue moralmente correcto'. It accurately classifies the first intention as 'consumo_basico' and the second as 'entrada_inadmisible', aligning perfectly with the Expected Output's classifications. The 'notas' field provides clear and consistent reasoning for each classification, demonstrating strong internal coherence. No information was invented, and implicit intentions were correctly handled.</t>
  </si>
  <si>
    <t>The Actual Output incorrectly groups the user's request for consumption data for June, July, and August into a single intention. The Expected Output clearly indicates that these should be decomposed into three individual, independent intentions, which constitutes a failure in correctly decomposing the input (A1). While the assigned scenario classification 'consumo_basico' for the grouped request is appropriate and no information was invented (A2), the fundamental flaw in decomposition places the response in the 0-4 range according to the rubric.</t>
  </si>
  <si>
    <t>The model correctly decomposes the input into a single request, aligning with A1. It does not invent any information, satisfying A2. The interpretation of the user's intention in the 'solicitud' field, although slightly different in phrasing from the 'Expected Output', accurately captures the core meaning of querying historical consumption for a device and time, fulfilling A3. The assigned 'consumo_basico' scenario is correct and well-justified in the 'notas' field, which is clear and coherent, meeting B1 and A4 respectively. All criteria are met, indicating excellent performance.</t>
  </si>
  <si>
    <t>The model correctly decomposes the input 'Quiero saber el consumo del aire acondicionado en la mañana y en la noche de ayer' into two independent requests, '@1' and '@2', without inventing any information (A1, A2). The inferred intentions and details in the decomposed requests perfectly align with the 'Expected Output' (A3). Furthermore, both requests are correctly classified under the 'consumo_basico' scenario, matching the 'Expected Output' and reflecting the intention of querying historical consumption data for a specific device and time intervals (B1). The 'notas' field in the 'Actual Output' is clear, coherent, and provides an accurate justification for the scenario selection (A4).</t>
  </si>
  <si>
    <t>The model correctly decomposes the single input request, accurately interpreting the user's intention to query the air conditioner's consumption for 'el fin de semana pasado'. It assigns the correct 'consumo_basico' scenario, aligning with the expected output. The 'notas' field provides a clear and coherent justification for the scenario classification, demonstrating strong semantic understanding and adherence to all evaluation criteria (A1-A4, B1).</t>
  </si>
  <si>
    <t>The model correctly decomposes the single input request into an independent request, without inventing any information. The inferred intention to query the energy consumption of the fridge for January aligns perfectly with the expected output. Furthermore, the model accurately assigns the 'consumo_basico' scenario, providing a clear and coherent explanation in the 'notas' field that justifies the classification based on the historical, explicit period, and quantitative nature of the query, and the absence of other complex elements.</t>
  </si>
  <si>
    <t>The model correctly decomposes the input into a single request (A1) and accurately interprets the user's intention to consult today's energy consumption for their computer, without inventing any information (A2). The inferred intention in the 'solicitud' field, 'Consultar el consumo energético del computador para el día de hoy.', aligns perfectly with the 'Expected Output's interpretation (A3). Furthermore, the model correctly assigns the 'consumo_basico' scenario, which matches the 'Expected Output' (B1). The 'notas' field provides a clear and coherent justification for the scenario classification (A4).</t>
  </si>
  <si>
    <t>El modelo descompone correctamente la solicitud del usuario en una única petición, sin inventar información (A1, A2). La interpretación de la intención del usuario en la solicitud es precisa y se alinea con la salida esperada (A3). Además, clasifica correctamente la solicitud en el escenario 'consumo_basico' (B1) y las 'notas' proporcionadas son claras, coherentes y justifican adecuadamente la clasificación (A4).</t>
  </si>
  <si>
    <t>The model correctly decomposes the input 'Dime el consumo de mi nevera ayer y el consumo de mi lavadora ayer' into two independent requests, one for the fridge and one for the washing machine, without inventing any information (A1, A2). The inferred intentions and details within the decomposed requests perfectly align with the `Expected Output` (A3). Both requests are correctly classified under the 'consumo_basico' scenario, matching the `Expected Output` (B1). The 'notas' field in the `Actual Output` is clear, coherent, and provides a detailed, accurate justification for the scenario assignment (A4).</t>
  </si>
  <si>
    <t>The model correctly decomposes the input into two independent requests, '¿Cuánto consumió mi casa el lunes?' and '¿Cuánto consumió mi casa el martes?', without inventing any information (A1, A2). The inferred intentions align perfectly with the expected output, as both refer to consulting the total energy consumption for specific days (A3). Furthermore, both requests are accurately classified under the 'consumo_basico' scenario, matching the expected output (B1). The 'notas' field provides a clear and coherent explanation for the scenario assignment, referencing historical consumption for specific days (A4).</t>
  </si>
  <si>
    <t>The model correctly identifies the single request from the input and does not invent any information (A1, A2). It accurately interprets the input's metaphorical language, aligning with the expected output's understanding that the request is not technically valid within the energy domain (A3). The model correctly assigns the 'entrada_inadmisible' scenario, which is consistent with the expected output and the nature of the input (B1). The 'notas' field provides a clear and coherent explanation for this classification, referencing the metaphorical language ('feliz') (A4). While the 'solicitud' field in the actual output retains the original phrasing rather than rephrasing it like the expected output, this is still a valid and clear representation for an inadmissible input, as it directly shows the problematic phrasing. The core classification and reasoning are perfectly aligned with the expected output.</t>
  </si>
  <si>
    <t>The model failed to correctly decompose the input into individual, independent requests (A1), as it combined the queries for 'PC', 'monitor', and 'router' into a single request. The Expected Output clearly indicates that each device should be a separate, independent request. This also leads to a misalignment with the Expected Output's interpretation of the input (A3). While the assigned scenario 'consumo_basico' is correct for the type of query, and no information was invented, the fundamental error in decomposition places the response in the 0-4 range of the rubric.</t>
  </si>
  <si>
    <t>The model successfully decomposes the input 'Quiero saber el consumo del ventilador y si hubo algún pico extraño ayer' into two independent requests, accurately inferring the implicit details like 'ayer' for both. The interpretation of these requests aligns perfectly with the Expected Output. Furthermore, both requests are correctly classified into their respective scenarios ('consumo_basico' and 'deteccion_anomalias_tendencias'), and the 'notas' field provides clear, coherent, and accurate justifications for these classifications, demonstrating a strong understanding of the `ESCENARIOS_CONTEXTO` rules.</t>
  </si>
  <si>
    <t>The model correctly decomposes the input into two independent requests without inventing information. The inferred intentions for both requests, 'Dime el consumo del aire acondicionado esta semana.' and 'Compáralo con la semana pasada.', accurately reflect the user's query and align well with the expected output's interpretation. Both requests are correctly classified into their respective scenarios, 'consumo_basico' and 'comparacion_consumos', demonstrating a correct understanding of the context. The 'notas' field provides clear and coherent explanations for these classifications, referencing specific details from the requests.</t>
  </si>
  <si>
    <t>The model successfully decomposed the input '¿Cuánto consumió mi PC ayer y ha venido aumentando su consumo este mes?' into two independent requests, '@1' and '@2', without inventing any information (A1, A2). The interpretation of these requests, '¿Cuánto consumió mi PC ayer?' and '¿Ha venido aumentando su consumo este mes?', closely aligns with the 'Expected Output's' interpretation (A3). Furthermore, the model correctly assigned the 'consumo_basico' scenario to the first request and 'deteccion_anomalias_tendencias' to the second, matching the 'Expected Output' (B1). The 'notas' field provides clear and coherent explanations for these assignments (A4).</t>
  </si>
  <si>
    <t>The model successfully decomposes the input 'Dime el consumo del televisor ayer y analiza si su consumo va en aumento' into two independent requests, '@1' and '@2', without inventing any information (A1, A2). The inferred intentions for both requests, 'Dime el consumo del televisor ayer' and 'Analiza si el consumo del televisor va en aumento', accurately align with the 'Expected Output's interpretation (A3). Furthermore, both requests are correctly classified into their respective scenarios: 'consumo_basico' for the historical consumption query and 'deteccion_anomalias_tendencias' for the trend analysis, which is consistent with the 'Expected Output' (B1). The 'notas' field in the 'Actual Output' provides clear, coherent, and well-justified explanations for each scenario assignment (A4).</t>
  </si>
  <si>
    <t>The model correctly decomposes the input into two independent intentions without inventing information. It accurately classifies both 'Dime el consumo del aire acondicionado ayer' as 'consumo_basico' and 'Dime si eso significa que soy irresponsable' as 'entrada_inadmisible', aligning perfectly with the expected output. The reasoning in the 'notas' field is clear, specific, and internally consistent with the identified requests and their classifications, demonstrating strong internal coherence.</t>
  </si>
  <si>
    <t>The model correctly decomposes the input into two distinct intentions, 'Proporcionar el consumo total de energía de la casa' and 'Determinar si el consumo energético de la casa ha ido aumentando a lo largo del año', aligning well with the Expected Output's decomposition. Both intentions are correctly classified into 'consumo_basico' and 'deteccion_anomalias_tendencias' respectively, matching the Expected Output (B1 correct). The 'notas' field provides clear and consistent reasoning for these classifications, demonstrating strong internal coherence (A4 correct). No information is invented (A2 correct), and implicit intentions are adequately inferred (A3 correct). The phrasing of the decomposed requests is slightly different from the Expected Output but captures the same meaning, warranting a high score.</t>
  </si>
  <si>
    <t>The model correctly decomposes the input into two independent requests and does not invent information (A1, A2). It accurately assigns the correct scenarios for both requests ('consumo_basico' and 'comparacion_consumos') according to the `ESCENARIOS_CONTEXTO` (B1). The 'notas' field is clear and coherent (A4). However, for the second request, the `Actual Output`'s 'solicitud' ('¿Cuál consumió más, la nevera o el horno?') does not fully infer the implied temporal context ('durante el día de ayer') from the input's 'ayer', which the `Expected Output` correctly includes. This minor omission in fully capturing the implicit intention (A3) prevents a perfect score.</t>
  </si>
  <si>
    <t>The model correctly decomposes the input 'Obtén el consumo del televisor ayer y compáralo con el de hoy' into three individual, independent intentions, including inferring the implicit request to obtain today's consumption. All three intentions are accurately classified into their respective scenarios ('consumo_basico' and 'comparacion_consumos'), aligning perfectly with the expected output. The 'notas' field provides clear and consistent reasoning for each classification, demonstrating strong internal coherence.</t>
  </si>
  <si>
    <t>The model correctly decomposes the input into two independent intentions, 'Dime el consumo de mi nevera ayer' and 'Compáralo con el consumo del sábado pasado', aligning with the expected output's decomposition (A1). It does not invent any information (A2). Both intentions are correctly classified into 'consumo_basico' and 'comparacion_consumos' respectively, matching the expected output's classifications (B1). The model also adequately infers the implicit comparison context for the second request within its 'notas' (A3). The reasoning provided in the 'notas' field is clear, consistent, and accurately justifies the identified requests and their scenario classifications, demonstrating strong internal coherence (A4).</t>
  </si>
  <si>
    <t>The model correctly decomposes the input into two independent intentions without inventing information (A1, A2). Both requests, 'Dime el consumo del horno ayer' and 'Dime si el consumo del horno ayer fue anormal', are accurately classified into 'consumo_basico' and 'deteccion_anomalias_tendencias' respectively, aligning with the expected output and correctly inferring the implicit intention for anomaly detection (B1, A3). Furthermore, the 'notas' field provides clear and consistent reasoning for each classification, demonstrating strong internal coherence (A4).</t>
  </si>
  <si>
    <t>The model correctly decomposes the input into two independent intentions, 'Dime el consumo del aire acondicionado la semana pasada' and 'Analiza si hubo anomalías en el consumo del aire acondicionado la semana pasada', demonstrating correct A1 and A3. It does not invent information (A2). Both intentions are correctly classified into 'consumo_basico' and 'deteccion_anomalias_tendencias' respectively, aligning with B1. The 'notas' field provides clear and consistent reasoning for each classification, indicating strong internal coherence (A4). The phrasing of the decomposed requests is semantically equivalent to the expected output, although not an exact match, which is a minor stylistic difference rather than a functional error.</t>
  </si>
  <si>
    <t>The model correctly decomposes the input into two independent requests, 'Proporcionar el consumo energético del horno este mes' and 'Analizar si hay anomalías en el consumo del horno este mes', without inventing any information. The interpretation of the natural language aligns perfectly with the Expected Output. Both requests are accurately classified into their respective scenarios, 'consumo_basico' and 'deteccion_anomalias_tendencias', which matches the Expected Output. The 'notas' field provides clear and coherent explanations for the scenario assignments, demonstrating a strong understanding of the task.</t>
  </si>
  <si>
    <t>The model correctly decomposes the input 'Primero quiero saber cuánto consumió mi casa este mes y después si aumentó respecto al mes pasado' into two independent requests (A1). It accurately infers the user's intentions without inventing information (A2), aligning closely with the expected output's interpretation (A3). Both requests are correctly classified into their respective scenarios, 'consumo_basico' and 'comparacion_consumos', which matches the expected output (B1). The 'notas' field provides clear and coherent explanations for the scenario assignments (A4), demonstrating a strong understanding of the input.</t>
  </si>
  <si>
    <t>The model correctly decomposes the input '¿Cuánto consumió la lavadora el sábado y fue más que el domingo?' into two independent requests, aligning with A1. It does not invent any information (A2) and accurately interprets the user's intentions for both 'consumo_basico' and 'comparacion_consumos' scenarios, matching the Expected Output's interpretation (A3). Furthermore, both requests are correctly classified into their respective scenarios ('consumo_basico' and 'comparacion_consumos') as per the implicit rules and Expected Output (B1). The 'notas' field provides clear and coherent explanations for each classification (A4), demonstrating a thorough understanding of the request and scenario mapping.</t>
  </si>
  <si>
    <t>The model correctly decomposes the input into two independent requests, 'Proporcionar el consumo energético del ventilador durante el mes actual' and 'Analizar si la tendencia de consumo del ventilador durante el mes actual es creciente', without inventing information (A1, A2). The inferred intentions align well with the Expected Output's interpretation, despite minor phrasing differences in the 'solicitud' fields (A3). Crucially, both requests are correctly classified into their respective scenarios: 'consumo_basico' for the first and 'deteccion_anomalias_tendencias' for the second, matching the Expected Output (B1). The 'notas' field provides clear and coherent explanations for these classifications (A4).</t>
  </si>
  <si>
    <t>The model incorrectly decomposes the input by creating an explicit request for October's consumption ('@2'), which is an implicit prerequisite for the comparison, not a separate user intention. This deviates from the Expected Output's more concise decomposition into two requests, indicating a shortcoming in correctly identifying independent requests (A1) and aligning with the expected interpretation (A3). While the model correctly identifies the November consumption and the comparison, and its notes are coherent, the over-decomposition prevents it from meeting the 'A1-A4 correctos' criteria for higher scores.</t>
  </si>
  <si>
    <t>The model correctly decomposes the input 'Dime el consumo del aire acondicionado esta semana, compáralo con la anterior y analiza la tendencia' into three distinct intentions, aligning perfectly with the Expected Output's decomposition. It accurately assigns the 'consumo_basico', 'comparacion_consumos', and 'deteccion_anomalias_tendencias' scenarios to the respective requests, demonstrating correct classification (B1). Furthermore, the 'notas' field provides clear and consistent reasoning for each classification, ensuring strong internal coherence (A4). No information was invented, and implicit intentions were correctly inferred.</t>
  </si>
  <si>
    <t>The model correctly decomposes the input into four independent intentions, aligning perfectly with the Expected Output (A1). It does not invent any information (A2) and accurately infers implicit intentions like the need for comparison and anomaly detection (A3). All assigned scenario classifications (`consumo_basico`, `comparacion_consumos`, `deteccion_anomalias_tendencias`) are correct and consistent with the Expected Output (B1). Furthermore, the 'notas' field provides clear and coherent reasoning for each classification, demonstrating strong internal consistency (A4).</t>
  </si>
  <si>
    <t>The model correctly decomposes the input into three independent intentions, 'Dime el consumo del horno este mes', 'Analiza si hay anomalías en el consumo del horno este mes', and 'Dime si el consumo del horno va en aumento este mes', without inventing information. It accurately infers implicit details like 'del horno este mes' for the subsequent requests. All intentions are correctly classified into their respective scenarios: 'consumo_basico' for the first and 'deteccion_anomalias_tendencias' for the second and third. The 'notas' field provides clear and consistent reasoning for each classification, demonstrating strong internal coherence. The output fully aligns with the criteria for a score of 8-10.</t>
  </si>
  <si>
    <t>The model successfully decomposes the input 'Quiero el consumo del ventilador ayer, del PC hoy y una comparación entre ambos' into three distinct and independent intentions. It correctly infers the implicit comparison request and assigns the appropriate scenario classifications ('consumo_basico' for the individual consumption requests and 'comparacion_consumos' for the comparison) for all three. Furthermore, the 'notas' field provides clear and consistent reasoning for each classification, demonstrating strong internal coherence.</t>
  </si>
  <si>
    <t>The model's decomposition deviates from the Expected Output, which serves as the reference for correct decomposition. While the Actual Output correctly identifies all necessary intentions and classifies them internally consistently, it creates an additional, redundant intention ('Consultar el consumo energético de mi PC durante la semana pasada' classified as 'consumo_basico'). The Expected Output implicitly handles the need for past week's data within the 'comparacion_consumos' intention, making the Actual Output's decomposition less efficient and not aligned with the reference. This constitutes a shortcoming in criterion A1, preventing a score in the 5-10 range.</t>
  </si>
  <si>
    <t>The model correctly decomposes the input into three distinct requests (A1) and does not invent information (A2). It also correctly assigns the scenario for each request (B1) and provides clear notes (A4). However, the model fails to adequately infer implicit contextual details for the second and third requests, specifically not carrying over 'consumo energético', 'nevera y lavadora', and 'durante el día de ayer' from the initial context to the subsequent requests. This indicates a shortcoming in the correct interpretation of the input's natural language and inference of implicit intentions (A3), preventing it from achieving a score in the 8-10 range, despite the correct scenario classification.</t>
  </si>
  <si>
    <t>The model successfully decomposes the input into three independent requests, accurately interpreting the user's intentions for each. It correctly assigns the 'consumo_basico', 'comparacion_consumos', and 'deteccion_anomalias_tendencias' scenarios, aligning perfectly with the Expected Output's classifications. No information is invented, and the 'notas' field provides clear and coherent explanations for each scenario assignment, demonstrating a strong understanding of the evaluation criteria.</t>
  </si>
  <si>
    <t>The model successfully decomposes the input into three independent requests, accurately reflecting the user's intentions without inventing any information (A1, A2). Each decomposed request's intention aligns perfectly with the Expected Output's interpretation (A3). Furthermore, all three requests are correctly classified into their respective scenarios ('consumo_basico', 'comparacion_consumos', 'entrada_inadmisible') according to the implicit rules of `ESCENARIOS_CONTEXTO` (B1). The 'notas' field provides clear, coherent, and accurate reasoning for each classification, demonstrating strong internal consistency (A4). The model's performance is exemplary, meeting all criteria for the highest score range.</t>
  </si>
  <si>
    <t>The Actual Output correctly identifies the explicit intention to consult Monday's consumption and the comparison intention, and their classifications are appropriate. It also correctly infers the need for Tuesday's consumption for the comparison. However, the decomposition deviates from the Expected Output by treating 'Consultar el consumo energético de la lavadora el martes' as a separate, independent intention. The Expected Output, which serves as the reference for correct decomposition (A1), implicitly includes the need for Tuesday's data within the comparison intention. This over-decomposition means that criterion A1 is not fully met, preventing the score from reaching the 5-10 range, despite the model not inventing information (A2) and maintaining internal coherence (A4).</t>
  </si>
  <si>
    <t>The model fails to correctly decompose the input into all individual, independent intentions (A1). The input asks for the consumption of 'la nevera y el televisor', which the Expected Output correctly separates into two distinct consumption queries. However, the Actual Output combines these into a single request for the consumption of 'la nevera y el televisor', which does not represent individual, independent intentions. While the scenario classifications for the identified requests are plausible and the internal coherence (A4) of the 'notas' is strong, this fundamental flaw in decomposition places the response in the lower score range.</t>
  </si>
  <si>
    <t>The model correctly decomposes the input into three distinct intentions and maintains internal coherence in its reasoning, fulfilling criteria A1, A2, A3 (for the most part), and A4. It accurately classifies the first and third intentions ('consumo total de la casa' as 'consumo_basico' and 'días anómalos' as 'deteccion_anomalias_tendencias'), aligning with the Expected Output. However, for the intention 'si ha aumentado este año', the model classifies it as 'comparacion_consumos', whereas the Expected Output classifies the corresponding intention ('Analizar la tendencia anual del consumo energético total del hogar') as 'deteccion_anomalias_tendencias'. This incorrect scenario classification for one intention (B1) prevents a higher score, placing it in the 5-7 range.</t>
  </si>
  <si>
    <t>El modelo descompone correctamente la solicitud del usuario en tres peticiones independientes, sin inventar información y manteniendo la coherencia con la intención original del input. La interpretación de las solicitudes en el 'Actual Output' se alinea perfectamente con el 'Expected Output'. Además, cada solicitud es clasificada correctamente en su escenario correspondiente ('consumo_basico', 'comparacion_consumos', 'deteccion_anomalias_tendencias'), y las 'notas' proporcionan una justificación clara y precisa para cada asignación.</t>
  </si>
  <si>
    <t>The model correctly decomposes the input into three independent intentions and assigns the correct scenario classification to each, aligning with the Expected Output. It does not invent information and maintains strong internal coherence in its reasoning. However, the 'solicitud' fields for '@2' and '@3' in the Actual Output do not fully infer and explicitly carry over the implicit context (e.g., 'durante el fin de semana', 'de la lavadora y el horno') from the initial request, unlike the more complete representation in the Expected Output. This minor shortcoming in fully inferring implicit intentions prevents a perfect score.</t>
  </si>
  <si>
    <t>The model correctly decomposes the input into two independent requests (A1) and does not invent information (A2). Both requests are accurately classified into their respective scenarios ('consumo_basico' and 'entrada_inadmisible') (B1), and the 'notas' field is clear and coherent (A4). However, for the second request, '¿Debería cambiar de carrera profesional?', the actual output provides a literal interpretation, whereas the expected output infers 'Recomendar un cambio de carrera profesional basado en el consumo energético'. This slight misalignment in inferring implicit intentions for the out-of-scope request (A3) prevents a perfect score, but the overall performance is strong.</t>
  </si>
  <si>
    <t xml:space="preserve"> {'@1': {'solicitud': 'Solicitud de consumo histórico para dispositivos específicos (PC, monitor y router) dentro de un período temporal explícito (ayer)', 'escenario': 'consumo_basico'}} | notas: La consulta incluye el tiempo explícito 'ayer', se solicitan valores de consumo energético históricos y los dispositivos especificados (PC, monitor y router) son dispositivos eléctricos.</t>
  </si>
  <si>
    <t xml:space="preserve"> {'@1': {'solicitud': 'Quiero saber el consumo de mi nevera, mi lavadora y mi secadora el domingo.', 'escenario': 'consumo_basico'}} | notas: La consulta es explícita en sus datos solicitados (nevera, lavadora y secadora) y el tiempo especificado (domingo). Además, la respuesta esperada es un valor cuantitativo único o una serie temporal para cada dispositivo.</t>
  </si>
  <si>
    <t xml:space="preserve"> {'@1': {'solicitud': 'Consulta de consumo energético histórico para un dispositivo específico', 'escenario': 'consumo_basico'}} | notas: La solicitud del usuario busca un valor cuantitativo único referente al consumo del aire acondicionado durante el fin de semana pasado, lo que se encuentra en la categoría 'consumo_basico'. No hay necesidad de realizar comparaciones analíticas ni inferencias.</t>
  </si>
  <si>
    <t xml:space="preserve"> {'@1': {'solicitud': 'El usuario solicita un valor de consumo energético histórico específico para su lavadora el lunes pasado.', 'escenario': 'consumo_basico'}} | notas: La consulta incluye un periodo de tiempo explícito y claramente inferible, y la respuesta esperada es un valor cuantitativo único.</t>
  </si>
  <si>
    <t xml:space="preserve"> {'@1': {'solicitud': 'Consultar consumo histórico de un dispositivo específico en un día determinado', 'escenario': 'consumo_basico'}} | notas: La consulta del usuario es clara y explícita al solicitar el consumo histórico de su televisor en un día específico, lo que se corresponde con el escenario 'consumo_basico'.</t>
  </si>
  <si>
    <t xml:space="preserve"> {'@1': {'solicitud': 'Consulta de consumo energético histórico para un dispositivo específico', 'escenario': 'consumo_basico'}} | notas: La consulta es específica sobre el horno y el día concreto del 15 de noviembre, lo que hace claro que se trata de una solicitud para acceder a datos puntuales sin realizar comparaciones ni análisis.</t>
  </si>
  <si>
    <t xml:space="preserve"> {'@1': {'solicitud': 'Solicitar consumo energético histórico de la nevera del día anterior', 'escenario': 'consumo_basico'}, '@2': {'solicitud': 'Solicitar consumo energético histórico de la lavadora del día anterior', 'escenario': 'consumo_basico'}} | notas: Las solicitudes son explícitas y se pueden categorizar como consultas de datos puntuales históricos sin realizar comparaciones analíticas ni estimaciones, además de tener un periodo de tiempo claramente inferible (el día anterior).</t>
  </si>
  <si>
    <t xml:space="preserve"> {'@1': {'solicitud': 'Consulta histórica del consumo diario de un dispositivo específico (televisor)', 'escenario': 'consumo_basico'}} | notas: La consulta se relaciona explícitamente con el consumo energético histórico del hogar, más precisamente de un dispositivo específico (televisor) y en un periodo determinado (ayer). El usuario no menciona comparaciones analíticas, análisis de patrones ni inferencias, lo que coincide con el escenario 'consumo_basico'.</t>
  </si>
  <si>
    <t xml:space="preserve"> {'@1': {'solicitud': 'Solicitar el consumo del ventilador esta semana', 'escenario': 'consumo_basico'}, '@2': {'solicitud': 'Solicitar el consumo de la lavadora la semana pasada', 'escenario': 'consumo_basico'}} | notas: Las consultas incluyen un periodo de tiempo explícito y los valores esperados son números cuantitativos únicos. Así que se utiliza el escenario 'consumo_basico'.</t>
  </si>
  <si>
    <t xml:space="preserve"> {'@1': {'solicitud': 'Consultar valores de consumo energético históricos para días distintos', 'escenario': 'consumo_basico'}} | notas: El usuario solicita valores de consumo energético histórico para dos días específicos, el lunes y el martes. No hay necesidad de comparaciones, análisis de patrones ni inferencias, sino que la respuesta esperada son valores cuantitativivos únicos para cada día.</t>
  </si>
  <si>
    <t xml:space="preserve"> {'@1': {'solicitud': 'Consultar el consumo de aire acondicionado en la mañana y en la noche del día anterior.', 'escenario': 'consumo_basico'}} | notas: El usuario solicita valores de consumo energético históricos y la consulta incluye un periodo de tiempo explícito. No se requiere analizar diferencias absolutas o relativas, ni hacer inferencias ni estimaciones.</t>
  </si>
  <si>
    <t xml:space="preserve"> {'@1': {'solicitud': 'Consultar consumo total del hogar durante marzo de 2024', 'escenario': 'consumo_basico'}} | notas: La solicitud especifica un periodo de tiempo explícito (marzo de 2024) y busca valores cuantitativos, por lo que se categoriza como un escenario de consumo básico.</t>
  </si>
  <si>
    <t xml:space="preserve"> {'@1': {'solicitud': 'Consultar consumo histórico de un dispositivo (ventilador) para un día específico (el día de ayer)', 'escenario': 'consumo_basico'}} | notas: La consulta es explícita y claramente relacionada con el consumo energético del hogar, solicita datos históricos de un dispositivo específico para un día especificado. El sistema interpreta esta solicitud como una consulta de tipo 'consumo_basico'.</t>
  </si>
  <si>
    <t xml:space="preserve"> {'@1': {'solicitud': 'Solicitud de consulta del consumo energético diario del computador', 'escenario': 'consumo_basico'}} | notas: El usuario ha solicitado información puntual sobre el consumo diario de su computador, lo que corresponde al escenario de entrada 'consumo_basico'. No hay necesidad de realizar comparaciones analíticas ni estimaciones.</t>
  </si>
  <si>
    <t xml:space="preserve"> {'@1': {'solicitud': 'Consultar el consumo energético histórico de la casa durante la semana pasada', 'escenario': 'consumo_basico'}} | notas: La consulta es explícita en su intención de obtener información de consumo energético, se menciona un período de tiempo claramente inferible (la semana pasada) y el resultado esperado es un valor único.</t>
  </si>
  <si>
    <t xml:space="preserve"> {'@1': {'solicitud': 'Consultar consumo histórico de una casa específica durante los meses de junio, julio y agosto', 'escenario': 'consumo_basico'}} | notas: El usuario solicita valores de consumo energético históricos para un periodo de tiempo explícito (junio, julio y agosto), por lo que la consulta se clasifica como "consumo_basico".</t>
  </si>
  <si>
    <t xml:space="preserve"> {'@1': {'solicitud': 'Consulta del consumo energético total de la casa en un día específico', 'escenario': 'consumo_basico'}} | notas: La consulta incluye una fecha implícita (ayer) y el usuario solicita información cuantitativa acerca del consumo energético total, por lo que se ajusta al escenario de "consumo_basico".</t>
  </si>
  <si>
    <t xml:space="preserve"> {'@1': {'solicitud': 'Consultar valores de consumo energético del horno para los meses de enero y febrero', 'escenario': 'consumo_basico'}} | notas: El usuario solicita valores de consumo energético históricos para el horno, y la consulta incluye periodos de tiempo explícitos.</t>
  </si>
  <si>
    <t xml:space="preserve"> {'1': {'solicitud': 'Consulta histórica de consumo para dos dispositivos específicos en un día concreto', 'escenario': 'consumo_basico'}} | notas: La consulta incluye dos dispositivos específicos (televisor y computador) y un día concreto (el sábado pasado), lo que coincide con el escenario de consumo basico, donde la intención es consultar valores de consumo energético ya registrados para uno o varios dispositivos dentro de un intervalo temporal explícito o claramente inferible.</t>
  </si>
  <si>
    <t xml:space="preserve"> {'@1': {'solicitud': 'Consultar consumo específico de un dispositivo durante un periodo de tiempo', 'escenario': 'consumo_basico'}} | notas: La consulta solicita los datos históricos de consumo energético de una nevera, específicamente durante el mes de enero. El usuario no pide comparaciones ni análisis, sino simplemente un valor cuantitativo.</t>
  </si>
  <si>
    <t xml:space="preserve"> {'@1': {'solicitud': 'Consulta del consumo del ventilador y detección de picos extraños ayer', 'escenario': 'deteccion_anomalias_tendencias'}} | notas: La consulta expresa la intención de acceder a datos históricos y detectar anomalías o picos en el consumo energético, por lo que corresponde al escenario 'deteccion_anomalias_tendencias'.</t>
  </si>
  <si>
    <t xml:space="preserve"> {'@1': {'solicitud': 'Consulta histórica del consumo energético de la nevera y comparación con otro dispositivo', 'escenario': 'comparacion_consumos'}} | notas: La consulta incluye una solicitud explícita para el consumo histórico del día anterior y compara el consumo de dos dispositivos diferentes (nevera y horno). Además, se utiliza un término comparativo explícito ("cuál consumió más").</t>
  </si>
  <si>
    <t xml:space="preserve"> {'@1': {'solicitud': 'Consulta histórica de consumo energético para noviembre y comparación con octubre', 'escenario': 'comparacion_consumos'}} | notas: La consulta incluye una comparación explícita entre un mes específico (Noviembre) y otro (Octubre). Además, el usuario solicita valores de consumo históricos. Por lo tanto, la solución se categoriza bajo el escenario 'comparacion_consumos'.</t>
  </si>
  <si>
    <t xml:space="preserve"> {'@1': {'solicitud': 'Consulta del consumo energético del televisor ayer y análisis de tendencia', 'escenario': 'consumo_basico'}} | notas: La solicitud contiene una fecha implícita (ayer), se está pidiendo un valor cuantitativo específico para el televisor, y la consulta incluye una pregunta sobre el aumento de consumo, por lo que es una consulta histórica.</t>
  </si>
  <si>
    <t xml:space="preserve"> {'@1': {'solicitud': 'Consulta el consumo del aire acondicionado esta semana y compara con la de la semana pasada', 'escenario': 'comparacion_consumos'}} | notas: La consulta incluye una comparación entre dos periodos de tiempo distintos, por lo que se ajusta al escenario 'comparacion_consumos'.</t>
  </si>
  <si>
    <t xml:space="preserve"> {'@1': {'solicitud': 'Consulta de consumo energético histórico comparativo para un dispositivo específico', 'escenario': 'comparacion_consumos'}} | notas: La consulta especifica la lavadora, el día es claramente inferible como sábado y domingo. La intención del usuario es comparar los consumos de estos dos días.</t>
  </si>
  <si>
    <t xml:space="preserve"> {'@1': {'solicitud': 'El usuario desea saber el consumo de su PC en esta semana', 'escenario': 'consumo_basico'}, '@2': {'solicitud': 'El usuario desea comparar el consumo de esta semana con la semana pasada', 'escenario': 'comparacion_consumos'}} | notas: La primera solicitud es un caso de 'consumo_basico' ya que el usuario desea acceder a valores de consumo energético históricos para su PC en una semana específica. La segunda solicitud también puede catalogarse como 'comparacion_consumos', ya que el usuario busca comparar el consumo de esta semana con la del período anterior.</t>
  </si>
  <si>
    <t xml:space="preserve"> {'@1': {'solicitud': 'Consulta del consumo histórico de una máquina (PC) en un día específico y la comparación con el consumo histórico para ese mismo dispositivo en el mes actual.', 'escenario': 'comparacion_consumos'}} | notas: La consulta incluye una comparación implícita entre el consumo diario y el mensual, pidiendo información sobre la PC y su consumo histórico. Además, se espera un valor cuantitativo en un periodo de tiempo explícito (día específico) y claramente inferible (mes actual).</t>
  </si>
  <si>
    <t xml:space="preserve"> {'@1': {'solicitud': 'Consultar consumo energético de la lavadora en un día específico (lunes) y compararlo con otro día (martes)', 'escenario': 'comparacion_consumos'}} | notas: La solicitud incluye una comparación explícita entre dos días distintos, y requiere analizar diferencias relativas.</t>
  </si>
  <si>
    <t xml:space="preserve"> {'@1': {'solicitud': 'Consulta de consumo energético histórico para un dispositivo específico dentro de un período explícito', 'escenario': 'consumo_basico'}} | notas: La consulta especifica el dispositivo (ventilador) y el período temporal (este mes). La intención del usuario es acceder a datos puntuales o históricos sin realizar comparaciones, análisis de patrones ni inferencias.</t>
  </si>
  <si>
    <t xml:space="preserve"> {'@1': {'solicitud': 'Consultar consumo del televisor en dos días distintos', 'escenario': 'comparacion_consumos'}} | notas: La solicitud incluye una comparación explícita entre los consumos de dos días distintos, lo que la sitúa dentro del escenario de comparación de consumos energéticos.</t>
  </si>
  <si>
    <t xml:space="preserve"> {'@1': {'solicitud': 'Consultar consumo de la nevera el día anterior y compararlo con el del sábado pasado', 'escenario': 'comparacion_consumos'}} | notas: El usuario pide comparar dos consumos (del día anterior y del sábado pasado) y la consulta utiliza términos comparativos explícitos.</t>
  </si>
  <si>
    <t xml:space="preserve"> {'@1': {'solicitud': 'Solicitud de consumo histórico para un dispositivo específico: el aire acondicionado', 'escenario': 'consumo_basico'}} | notas: La consulta se centra en solicitar valores de consumo energético histórico para un dispositivo específico y no requiere analizar patrones ni realizar inferencias. No hay comparaciones con otros dispositivos o periodos de tiempo, por lo que coincide con el escenario 'consumo_basico'.</t>
  </si>
  <si>
    <t xml:space="preserve"> {'@1': {'solicitud': 'Consulta del consumo energético histórico de un dispositivo específico', 'escenario': 'consumo_basico'}} | notas: La solicitud del usuario pide el consumo del horno ayer, lo que implica una consulta histórica de datos puntuales. No hay comparación ni análisis en esta consulta.</t>
  </si>
  <si>
    <t xml:space="preserve"> {'@1': {'solicitud': 'Consulta del consumo del televisor ayer', 'escenario': 'consumo_basico'}} | notas: La consulta es específica y autocontenida, no se requiere análisis ni inferencias. El usuario solicita un valor de consumo energético histórico con un periodo de tiempo explícito (ayer).</t>
  </si>
  <si>
    <t xml:space="preserve"> {'@1': {'solicitud': 'Determinar el consumo del aire acondicionado la semana pasada', 'escenario': 'consumo_basico'}, '@2': {'solicitud': 'Análisis de anomalías en el consumo del aire acondicionado la semana pasada', 'escenario': 'deteccion_anomalias_tendencias'}} | notas: La consulta incluye una solicitud de información histórica sobre el consumo del aire acondicionado, por lo que se considera un escenario de "consumo_basico". Además, la solicitud implica un análisis de patrones o anomalías en el consumo energético, lo que coincide con el escenario de "deteccion_anomalias_tendencias".</t>
  </si>
  <si>
    <t xml:space="preserve"> {'@1': {'solicitud': 'Consultar consumo del horno este mes', 'escenario': 'consumo_basico'}, '@2': {'solicitud': 'Detectar anomalias en el consumo del horno este mes', 'escenario': 'deteccion_anomalias_tendencias'}} | notas: La consulta solicita datos históricos de consumo energético con un periodo explícito (este mes) sin realizar comparaciones analíticas o inferencias. Por otra parte, la consulta también menciona la búsqueda de anomalías en el consumo del horno, lo que implica el análisis de datos históricos y patrones temporales.</t>
  </si>
  <si>
    <t xml:space="preserve"> {'@1': {'solicitud': 'Consultar el consumo energético de la nevera y compararlo con el de la lavadora en un período específico (último día completo) y detectar picos raros.', 'escenario': 'comparacion_consumos'}} | notas: La solicitud del usuario incluye la comparación expresa de dos dispositivos (nevera y lavadora), utiliza términos comparativos explícitos ("compárala") y sugiere que puede haber diferencias significativas entre sus consumos energéticos.</t>
  </si>
  <si>
    <t xml:space="preserve"> {'@1': {'solicitud': 'Solicitud de consumo total de la casa para un período específico y comparación con el año anterior', 'escenario': 'consumo_basico'}} | notas: La consulta incluye una solicitud explícita del consumo total de la casa, por lo que se clasifica dentro del escenario 'consumo_basico'. Además, se busca comparar los valores obtenidos con el año anterior, por lo tanto también se puede decir que la consulta incluye una comparación temporal.</t>
  </si>
  <si>
    <t xml:space="preserve"> {'@1': {'solicitud': 'Consultar consumo energético del hogar durante el mes actual', 'escenario': 'consumo_basico'}, '@2': {'solicitud': 'Comparar consumo energético del hogar entre dos meses consecutivos', 'escenario': 'comparacion_consumos'}} | notas: El usuario solicita valores de consumo energético históricos para el hogar completo y compararlos con los del mes pasado, por lo que ambas solicitudes coinciden con los escenarios 'consumo_basico' e 'comparacion_consumos'.</t>
  </si>
  <si>
    <t xml:space="preserve"> {'@1': {'solicitud': 'Consulta del consumo energético histórico de una casa en un periodo específico y comparación con otro período, busca también detectar picos anómalos', 'escenario': 'deteccion_anomalias_tendencias'}} | notas: La consulta incluye un periodo de tiempo explícito (octubre y noviembre), el usuario menciona picos anómalos, y también busca comparar consumos entre dos períodos. Todo esto coincide con los criterios de detección de anomalias y tendencias.</t>
  </si>
  <si>
    <t xml:space="preserve"> {'@1': {'solicitud': 'Solicitud de consumo energético histórico para el aire acondicionado en una semana, comparación con la semana anterior y análisis de tendencia.', 'escenario': 'comparacion_consumos'}} | notas: La consulta incluye términos comparativos explícitos (this week and last week) y se requiere analizar diferencias relativas para determinar la tendencia.</t>
  </si>
  <si>
    <t xml:space="preserve"> {'@1': {'solicitud': 'Consumo del ventilador ayer', 'escenario': 'consumo_basico'}, '@2': {'solicitud': 'Consumo del PC hoy', 'escenario': 'consumo_basico'}, '@3': {'solicitud': 'Comparación entre el consumo del ventilador y el del PC', 'escenario': 'comparacion_consumos'}} | notas: Las solicitudes 1 y 2 son categorizadas como 'consumo_basico' porque ambas buscan valores de consumo energético históricos para dispositivos específicos. La solicitud 3 es categorizada como 'comparacion_consumos' porque el usuario pide comparar dos o más consumos y utiliza términos comparativos explícitos.</t>
  </si>
  <si>
    <t xml:space="preserve"> {'@1': {'solicitud': 'Solicitar consumo de la lavadora en un intervalo específico y compararla con el horno', 'escenario': 'comparacion_consumos'}} | notas: La consulta incluye una solicitud explícita para comparar los consumos de dos dispositivos diferentes, en este caso la lavadora y el horno. Además, se menciona el intervalo específico de tiempo (el fin de semana).</t>
  </si>
  <si>
    <t xml:space="preserve"> {'@1': {'solicitud': 'Consulta del consumo total de la casa, comparación con el año anterior y detección de días anómalos', 'escenario': 'deteccion_anomalias_tendencias'}} | notas: La consulta solicita valores históricos del consumo energético total en la casa y, además, incluye términos como "aumentado este año" y "días anómalos", lo que sugiere que se está interesando en detectar comportamientos irregulares o tendencias sostenidas en el consumo energético.</t>
  </si>
  <si>
    <t xml:space="preserve"> {'@1': {'solicitud': 'Consulta histórica de consumo de la nevera y lavadora para comparación', 'escenario': 'comparacion_consumos'}} | notas: La consulta específica pide comparar dos dispositivos (nevera y lavadora) y menciona explícitamente una intención de hacer análisis comparativos. El contexto implica que se está buscando identificar diferencias en los consumos para determinar cuáles consumen más o menos energía, lo cual es consistente con el escenario 'comparacion_consumos'.</t>
  </si>
  <si>
    <t xml:space="preserve"> {'@1': {'solicitud': 'Consultar el consumo del horno este mes y analizar si hay anomalías', 'escenario': 'consumo_basico'}, '@2': {'solicitud': 'Determinar si el consumo del horno está en aumento', 'escenario': 'deteccion_anomalias_tendencias'}} | notas: El usuario solicita valores de consumo energético históricos y comparativos, por lo que se divide la petición en dos partes: una para consultar el consumo del horno este mes (escenario 'consumo_basico') y otra para analizar si hay anomalías o tendencias sostenidas en el consumo (escenario 'deteccion_anomalias_tendencias').</t>
  </si>
  <si>
    <t xml:space="preserve"> {'@1': {'solicitud': 'Consultar el consumo de la nevera y el televisor del día anterior, además de identificar cual fue el mayor', 'escenario': 'consumo_basico'}} | notas: Esta solicitud corresponde a un caso en el que el usuario desea obtener información puntual sobre el consumo energético de dos dispositivos específicos (nevera y televisor) durante un período claramente inferible (el día anterior). Se espera una respuesta en forma de valores cuantitativos únicos para cada dispositivo, además de la identificación del que consumió más energía.</t>
  </si>
  <si>
    <t xml:space="preserve"> {'@1': {'solicitud': 'Consultar consumo de aire acondicionado histórico, hacer comparaciones con la semana pasada y detectar tendencias', 'escenario': 'comparacion_consumos'}} | notas: El usuario solicita comparar el consumo del aire acondicionado entre dos periodos de tiempo diferentes (ayer vs. la semana pasada) y también desea detectar tendencias en el consumo energético del dispositivo. Esto coincide con el escenario de 'comparacion_consumos'.</t>
  </si>
  <si>
    <t xml:space="preserve"> {'@1': {'solicitud': 'Consultar consumo histórico de una nevera y comparar con el de una lavadora', 'escenario': 'comparacion_consumos'}, '@2': {'solicitud': 'Determinar si algún dispositivo tuvo un consumo extraño', 'escenario': 'deteccion_anomalias_tendencias'}} | notas: Comparación de consumos debido a la presencia del término comparativo y el requerimiento explícito de valores históricos para dos dispositivos diferentes. Además, la solicitud incluye una referencia implícita a un día específico (ayer), por lo que se puede inferir que se espera un valor cuantitativo único o una serie temporal.
La segunda solicitud se corresponde con el escenario de detección de anomalías y tendencias, ya que la pregunta menciona la posibilidad de comportamientos irregulares (consumo extraño). Además, la consulta sugiere aumentos o disminuciones sostenidas en el consumo.</t>
  </si>
  <si>
    <t>The model failed to correctly decompose the input into all individual, independent intentions (A1). It grouped the requests for the PC, monitor, and router into a single intention, whereas the Expected Output correctly identified three distinct intentions. This fundamental error in decomposition, despite the correct scenario classification ('consumo_basico') for the combined intention, indicates insufficient semantic quality according to the rubric.</t>
  </si>
  <si>
    <t>The model fails to correctly decompose the input into individual, independent intentions (A1). The input 'Quiero saber el consumo de mi nevera, mi lavadora y mi secadora el domingo' should be broken down into three distinct requests, one for each appliance, as shown in the Expected Output. Instead, the Actual Output treats it as a single, combined request. Furthermore, the 'notas' field in the Actual Output mentions 'para cada dispositivo', which contradicts the single 'solicitud' it generated, indicating an internal inconsistency (A4).</t>
  </si>
  <si>
    <t>El modelo descompone correctamente la intención del usuario '¿Cuánto consumió el aire acondicionado el fin de semana pasado?' en 'Consulta de consumo energético histórico para un dispositivo específico' (A1, A2). La clasificación del escenario como 'consumo_basico' es correcta y coincide con el Expected Output (B1). Además, la explicación en el campo 'notas' es clara y coherente con la solicitud identificada y su clasificación, justificando por qué se categoriza como 'consumo_basico' (A4). No se inventa información ni se omiten intenciones implícitas relevantes (A3).</t>
  </si>
  <si>
    <t>The model correctly decomposes the input into a single intention (A1) without inventing information (A2). It accurately classifies the request as 'consumo_basico' (B1), matching the Expected Output. The 'notas' field provides a clear and consistent explanation for the identified request and its classification, demonstrating strong internal coherence (A4). The model correctly infers the explicit intention for historical consumption (A3).</t>
  </si>
  <si>
    <t>The model significantly fails in decomposing the input (A1) by only identifying one of the two distinct intentions present in the user's request 'Dime el consumo de mi televisor ayer y dime también si eso fue moralmente correcto.' It completely misses the second intention, 'dime también si eso fue moralmente correcto,' which the Expected Output correctly identifies and classifies as 'entrada_inadmisible'. While the identified intention's classification ('consumo_basico') and its associated reasoning are correct, the fundamental omission of a key part of the user's request demonstrates insufficient semantic quality.</t>
  </si>
  <si>
    <t>El modelo descompone correctamente la solicitud del usuario en una única intención y no inventa información. La clasificación del escenario como 'consumo_basico' es correcta y coincide con el Expected Output. La nota proporcionada es coherente y justifica adecuadamente la clasificación, mencionando la especificidad del horno y la fecha del 15 de noviembre. La 'solicitud' identificada en el Actual Output es funcionalmente correcta, aunque ligeramente menos específica que la del Expected Output, lo cual no afecta la clasificación ni la comprensión general de la intención.</t>
  </si>
  <si>
    <t>The model correctly decomposes the input into two independent intentions for the refrigerator and washing machine, aligning perfectly with the Expected Output (A1). It does not invent any information (A2). The implicit intention of 'ayer' (yesterday) is correctly inferred as 'del día anterior' for both requests (A3). Both requests are accurately classified under the 'consumo_basico' scenario, which is consistent with the nature of historical, punctual energy consumption queries (B1). The 'notas' field provides clear and coherent reasoning that supports the identified requests and their classifications (A4). All evaluation criteria are met successfully.</t>
  </si>
  <si>
    <t>The model correctly decomposes the input into a single request and accurately interprets the user's intention to query historical consumption for a specific device (televisor) during a defined period ('ayer en la noche'). The assigned scenario 'consumo_basico' aligns perfectly with the nature of the request, and the 'notas' provide a clear and coherent justification for both the request interpretation and the scenario classification. The 'solicitud' in the actual output uses 'consumo diario' which is a slight generalization compared to 'noche de ayer' in the expected output, but it doesn't invent information or misinterpret the core intent, hence a high score.</t>
  </si>
  <si>
    <t>The model correctly decomposes the input into two independent intentions, 'Solicitar el consumo del ventilador esta semana' and 'Solicitar el consumo de la lavadora la semana pasada', without inventing information. Both intentions are accurately classified under the 'consumo_basico' scenario, aligning perfectly with the Expected Output. The 'notas' field provides a clear and consistent explanation for the classification, referencing the explicit time periods and quantitative nature of the expected values, demonstrating strong internal coherence.</t>
  </si>
  <si>
    <t>The model fails to correctly decompose the input '¿Cuánto consumió mi casa el lunes y cuánto consumió el martes?' into all individual, independent intentions (A1), instead combining the two distinct requests for Monday and Tuesday's consumption into a single, generalized intention. Additionally, there is an internal inconsistency (A4) as the 'notas' field explicitly acknowledges 'dos días específicos, el lunes y el martes,' which contradicts the single, broad 'solicitud' identified.</t>
  </si>
  <si>
    <t>The model fails to correctly decompose the input into all individual, independent intentions (A1). The input 'en la mañana y en la noche de ayer' clearly implies two distinct requests for consumption data, one for the morning and one for the night, as shown in the Expected Output. However, the Actual Output incorrectly combines these into a single 'solicitud'. While the scenario classification (B1) and internal coherence (A4) are acceptable for the single, combined request, the fundamental failure in decomposition places the response in the 0-4 range according to the rubric.</t>
  </si>
  <si>
    <t>The model correctly decomposes the single input request into an individual request (A1) without inventing any information (A2). The inferred intention in the 'solicitud' field, 'Consultar consumo total del hogar durante marzo de 2024', accurately interprets the input '¿Cuál fue el consumo total de la casa durante marzo de 2024?', aligning closely with the expected output's interpretation (A3). The assigned scenario 'consumo_basico' is correct and matches the expected output (B1). Furthermore, the 'notas' field provides a clear and coherent explanation for the classification, stating that the request specifies an explicit time period and seeks quantitative values (A4).</t>
  </si>
  <si>
    <t>The model accurately decomposes the input 'Muéstrame el consumo del ventilador el día de ayer' into the correct intention, 'Consultar consumo histórico de un dispositivo (ventilador) para un día específico (el día de ayer)', aligning with A1 and A2. The scenario 'consumo_basico' is correctly assigned (B1), and the 'notas' provide clear, coherent reasoning (A4), demonstrating full compliance with the evaluation criteria.</t>
  </si>
  <si>
    <t>The model correctly decomposed the input into a single request, accurately reflecting the user's intention to query daily computer energy consumption (A1, A2, A3). The 'solicitud' field, 'Solicitud de consulta del consumo energético diario del computador', precisely matches the intent of 'Quiero saber cuánta energía gastó mi computador hoy'. Furthermore, the model correctly classified this request under the 'consumo_basico' scenario, aligning perfectly with the Expected Output (B1). The 'notas' field provides a clear and coherent explanation for this classification (A4).</t>
  </si>
  <si>
    <t>The model correctly decomposed the single request from the input 'Dime cuántos kWh consumió mi casa la semana pasada' into an independent request without inventing information. The inferred intention 'Consultar el consumo energético histórico de la casa durante la semana pasada' accurately reflects the input and closely aligns with the expected output's interpretation. The assigned scenario 'consumo_basico' is correct and matches the expected output. The 'notas' field provides a clear and coherent explanation of the request, demonstrating strong semantic understanding.</t>
  </si>
  <si>
    <t>The model fails to correctly decompose the input '¿Cuánto consumió mi casa en junio, julio y agosto?' into individual, independent requests. Instead of generating three distinct requests for each month as per the Expected Output, it combines them into a single request for a 'periodo de tiempo explícito'. This demonstrates a significant shortcoming in semantic interpretation (A1 and A3), leading to an insufficient quality in the decomposition and interpretation of the user's natural language.</t>
  </si>
  <si>
    <t>The model fundamentally misinterprets the user's intention. The input '¿Qué tan feliz estuvo mi casa ayer con el consumo de energía?' is an anthropomorphic, non-technical query. The model invents information by inferring a 'Consulta del consumo energético total' (A2) when the input asks about 'happiness'. This leads to an incorrect interpretation (A3) and an incorrect scenario classification of 'consumo_basico' (B1), as the intention does not correspond to a valid technical action in the energy domain, as correctly identified by the Expected Output's 'entrada_inadmisible' scenario.</t>
  </si>
  <si>
    <t>The model failed to correctly decompose the input 'Muéstrame el consumo del horno en enero y en febrero' into individual, independent requests for each month. It incorrectly combined 'enero y febrero' into a single request, which deviates from the expected output's interpretation of two distinct monthly queries. This represents a significant shortcoming in semantic decomposition (A1) and interpretation of natural language (A3).</t>
  </si>
  <si>
    <t>The model failed to correctly decompose the input into individual, independent requests, as specified in evaluation step A1. The input asks about 'el televisor y el computador', which the Expected Output correctly breaks down into two distinct requests. However, the Actual Output combines these into a single request for 'dos dispositivos específicos', indicating a shortcoming in granular decomposition. While the identified scenario 'consumo_basico' and the general intent were correct for its single interpretation, the fundamental failure to decompose into separate entities aligns with the 0-4 rubric range for failing in request decomposition (A1) and not aligning with the Expected Output's interpretation (A3).</t>
  </si>
  <si>
    <t>The model correctly decomposes the input into a single request (A1) and does not invent information (A2). The inferred intention, 'Consultar consumo específico de un dispositivo durante un periodo de tiempo', accurately captures the essence of '¿Cuánto consumió mi nevera durante el mes de enero?' (A3), with the 'notas' field providing the specific details (nevera, enero) that align with the expected output's specificity. The assigned scenario 'consumo_basico' is correct for a basic consumption query (B1), and the 'notas' are clear and coherent (A4). The slight difference in generality of the 'solicitud' field compared to the expected output is fully compensated by the detailed 'notas', making the overall interpretation robust.</t>
  </si>
  <si>
    <t>El modelo falla en la descomposición de la solicitud, combinando dos intenciones distintas ('consumo del ventilador' y 'picos extraños') en una sola solicitud. La salida esperada descompone correctamente estas intenciones en '@1' para el consumo básico y '@2' para la detección de anomalías. Esta falta de descomposición adecuada (A1) es una deficiencia significativa, aunque la clasificación del escenario para la intención combinada se alinea parcialmente con una de las intenciones originales.</t>
  </si>
  <si>
    <t>The model fails to correctly decompose the input into all individual, independent intentions (A1). The input '¿Cuánto consumió mi nevera ayer y cuál consumió más, la nevera o el horno?' contains two distinct requests: one for historical consumption of the fridge and another for a comparison between the fridge and the oven. The Actual Output merges these into a single intention, whereas the Expected Output correctly separates them into two. While the 'notas' field correctly identifies both aspects of the query, the structured 'solicitud' and 'escenario' fields do not reflect this decomposition, leading to an inconsistency (A4) between the reasoning and the output structure. The single scenario classification 'comparacion_consumos' is also incomplete as it misses the 'consumo_basico' aspect of the first part of the query.</t>
  </si>
  <si>
    <t>The Actual Output incorrectly decomposes the input by merging two distinct intentions into a single one, failing criterion A1. The input '¿Cuánto consumió mi casa en noviembre y cómo se compara con octubre?' clearly contains a request for basic consumption and a comparison. By combining these, the model misses the 'consumo_basico' scenario for the November consumption query, which is present in the Expected Output, thus also failing criterion B1 for that part of the request. While the 'notas' are internally consistent with the single identified intention (A4), the fundamental error in decomposition and scenario identification places the response in the 0-4 range.</t>
  </si>
  <si>
    <t>The model fails to correctly decompose the input 'Dime el consumo del televisor ayer y analiza si su consumo va en aumento' into two individual, independent intentions, combining them into a single request, which is a failure in A1. Consequently, it incorrectly classifies the trend analysis component of the request under 'consumo_basico' instead of the more appropriate 'deteccion_anomalias_tendencias', indicating a failure in B1. While the 'notas' acknowledge both parts of the request, the final single classification is inconsistent with the distinct nature of the two intentions, impacting A4.</t>
  </si>
  <si>
    <t>The model failed to correctly decompose the input 'Dime el consumo del aire acondicionado esta semana y compáralo con la semana pasada' into individual, independent requests (A1). It combined two distinct intentions (consulting current week's consumption and comparing it with the previous week) into a single request, whereas the Expected Output correctly identified two separate requests. This also led to an incorrect interpretation of the input's natural language (A3) and an inadequate scenario assignment for the combined request, as the initial consumption query should ideally be a 'consumo_basico' scenario before the comparison.</t>
  </si>
  <si>
    <t>The model fails to correctly decompose the input into all individual, independent intentions (A1). The input asks '¿Cuánto consumió la lavadora el sábado y fue más que el domingo?', which contains two distinct requests: a direct query for Saturday's consumption and a comparison between Saturday and Sunday. The Actual Output merges these into a single 'Consulta de consumo energético histórico comparativo', thereby missing the explicit direct consumption query for the lavadora on Saturday. This fundamental omission in decomposition leads to insufficient semantic quality, despite the internal coherence of the identified comparative intention.</t>
  </si>
  <si>
    <t>The model correctly decomposes the input 'Quiero saber el consumo de mi PC esta semana y luego compararlo con la semana pasada' into two independent intentions, '@1' for current week's consumption and '@2' for comparison, without inventing information. Both intentions are correctly classified into 'consumo_basico' and 'comparacion_consumos' scenarios, respectively, aligning perfectly with the Expected Output. The 'notas' field provides clear and consistent reasoning for these classifications, demonstrating strong internal coherence.</t>
  </si>
  <si>
    <t>The model fails to correctly decompose the input into individual, independent intentions (A1). The input clearly contains two distinct requests: a specific historical consumption query and a trend analysis query. The Actual Output merges these into a single intention, which is a significant shortcoming. Consequently, the assigned scenario classification 'comparacion_consumos' (B1) is incomplete, as it misses the crucial 'deteccion_anomalias_tendencias' aspect of the second part of the input ('ha venido aumentando su consumo este mes?'). While the 'notas' field is internally consistent with the model's own (flawed) interpretation, the fundamental errors in decomposition and classification place the response in the lower range of the rubric.</t>
  </si>
  <si>
    <t>The model fails to correctly decompose the input into all individual, independent intentions (A1). The input 'Dime cuánto consumió la lavadora el lunes y luego compárala con el martes' clearly contains two distinct intentions: a basic consumption query for Monday and a comparison between Monday and Tuesday. The Actual Output incorrectly merges these into a single intention, 'Consultar consumo energético de la lavadora en un día específico (lunes) y compararlo con otro día (martes)', thereby missing the separate 'consumo_basico' intention identified in the Expected Output. While the classification of the combined intention as 'comparacion_consumos' is partially correct for the comparison aspect, the fundamental failure in decomposition (A1) and not inferring the implicit basic query as a separate intention (A3) places it in the lower score range.</t>
  </si>
  <si>
    <t>The model fails significantly in decomposing the input (A1). The input 'Quiero saber el consumo del ventilador este mes y luego dime si la tendencia es creciente' clearly contains two distinct intentions: a basic consumption query and a trend analysis. The Actual Output only identifies the first intention, completely missing the explicit request to 'dime si la tendencia es creciente'. Furthermore, the 'notas' field incorrectly states that the user's intention is 'sin realizar comparaciones, análisis de patrones ni inferencias', which directly contradicts the second part of the user's input, indicating a fundamental misunderstanding of the full request.</t>
  </si>
  <si>
    <t>The model fails to correctly decompose the input 'Obtén el consumo del televisor ayer y compáralo con el de hoy' into individual, independent requests (A1). It consolidates three distinct intentions (consult yesterday's consumption, consult today's consumption, compare them) into a single request, 'Consultar consumo del televisor en dos días distintos'. This also leads to an incorrect interpretation of the input's natural language compared to the Expected Output (A3), which correctly identifies three separate requests. Consequently, the scenario assignment for the single request, 'comparacion_consumos', is an oversimplification, missing the underlying 'consumo_basico' requests for individual days (B1).</t>
  </si>
  <si>
    <t>The model fails significantly in decomposing the input into individual, independent intentions (A1). It merges two distinct requests ('Consultar el consumo energético de la nevera durante el día de ayer' and 'Comparar el consumo energético de la nevera entre ayer y el sábado pasado') into a single, combined intention. This failure in decomposition subsequently leads to an incorrect scenario classification (B1) for the initial part of the request, which should have been 'consumo_basico' according to the Expected Output. While the 'notas' field is internally consistent with the model's single, merged output, the fundamental flaw in decomposition and classification places the response in the lowest rubric category.</t>
  </si>
  <si>
    <t>The model failed to correctly decompose the input 'Dime el consumo del aire acondicionado ayer y dime si eso significa que soy irresponsable' into all its independent requests (A1). It only identified the request for historical consumption, completely omitting the second request to 'evaluar la responsabilidad personal a partir del consumo energético' (A3), which was present in the `Expected Output`. This indicates a significant shortcoming in interpreting the full natural language input, leading to insufficient semantic quality.</t>
  </si>
  <si>
    <t>The model failed to correctly decompose the input into individual requests (A1), only identifying one request ('Consulta del consumo energético histórico') when the input 'Dime el consumo del horno ayer y luego dime si fue anormal' clearly contains two distinct intentions, including an anomaly detection. The 'notas' field also incorrectly states 'No hay comparación ni análisis en esta consulta', demonstrating a misunderstanding of the full input's scope (A4), as the input explicitly asks for an anomaly check. This significant failure in decomposition and semantic interpretation places the response in the lowest rubric category.</t>
  </si>
  <si>
    <t>The model failed to correctly decompose the input into all individual, independent requests (A1). It only identified the first request regarding television consumption, completely omitting the second request about career change. While the identified request was correctly interpreted (A3) and classified (B1) as 'consumo_basico', and its 'notas' were coherent (A4), the fundamental failure to process the entire input and identify all user intentions leads to insufficient semantic quality.</t>
  </si>
  <si>
    <t>The model successfully decomposes the input into two independent requests, 'Determinar el consumo del aire acondicionado la semana pasada' and 'Análisis de anomalías en el consumo del aire acondicionado la semana pasada', without inventing any information (A1, A2). The interpretation of these requests aligns very closely with the Expected Output (A3). Both requests are correctly classified into their respective scenarios, 'consumo_basico' and 'deteccion_anomalias_tendencias', which accurately reflect the user's intentions (B1). The 'notas' field provides a clear and coherent explanation for the scenario assignments (A4). The minor phrasing differences in the 'solicitud' fields compared to the Expected Output are negligible and do not detract from the overall correctness.</t>
  </si>
  <si>
    <t>The model correctly decomposes the input into two independent requests, 'Consultar consumo del horno este mes' and 'Detectar anomalias en el consumo del horno este mes', without inventing information (A1, A2). The inferred intentions and details align very closely with the Expected Output, demonstrating correct interpretation of the natural language (A3). Both requests are accurately classified into their respective scenarios, 'consumo_basico' and 'deteccion_anomalias_tendencias', matching the Expected Output (B1). The 'notas' field provides a clear and coherent explanation for the identified requests and their implications (A4). The only minor difference is a slight variation in phrasing for the 'solicitud' text compared to the Expected Output, which does not impact the semantic correctness or scenario classification.</t>
  </si>
  <si>
    <t>The model fails to correctly decompose the input into individual, independent requests, merging three distinct intentions (consultation, comparison, anomaly detection) into a single request. This directly contradicts the Expected Output, which clearly separates these into three distinct requests and scenarios. While the Actual Output captures all elements of the user's query, its inability to properly segment them into separate actions represents a significant shortcoming in semantic quality (A1) and leads to an incorrect scenario assignment (B1) for the combined request.</t>
  </si>
  <si>
    <t>The model fails to correctly decompose the input 'Primero dime el consumo total de la casa y luego dime si ha ido aumentando en el año' into individual, independent requests (A1). It combines two distinct intentions into a single request, whereas the Expected Output correctly identifies two separate requests. Consequently, the model also incorrectly classifies the full scope of the second part of the input, as it assigns only 'consumo_basico' to the combined request, missing the 'deteccion_anomalias_tendencias' scenario for the trend analysis (B1).</t>
  </si>
  <si>
    <t>The model correctly decomposes the input into two independent requests, 'Consultar consumo energético del hogar durante el mes actual' and 'Comparar consumo energético del hogar entre dos meses consecutivos', without inventing information. The inferred intentions align well with the expected output, accurately capturing the user's desire to know current consumption and compare it to the previous month. Both requests are correctly classified into their respective scenarios, 'consumo_basico' and 'comparacion_consumos'. The 'notas' field provides a clear and coherent explanation for the decomposition and scenario assignments. The only minor difference is the slightly less specific phrasing for the second request compared to the expected output, but it still accurately reflects the input's intent.</t>
  </si>
  <si>
    <t>The model fails to decompose the input into all individual, independent intentions (A1), merging three distinct requests from the input into a single, combined intention. While the 'notas' field demonstrates internal coherence (A4) for its single, merged request, the fundamental failure in decomposition means it does not correctly classify each request into its corresponding scenario (B1), as it only provides one scenario for a merged request instead of three distinct ones as per the Expected Output.</t>
  </si>
  <si>
    <t>The model fails to decompose the input into individual, independent requests, merging 'consumo esta semana', 'comparar con la anterior', and 'analizar la tendencia' into a single request. This is a clear failure in evaluation step A1. Consequently, the interpretation of the natural language (A3) does not align with the expected output's decomposition into three distinct requests and scenarios. The single assigned scenario 'comparacion_consumos' (B1) is insufficient and incorrect for a request that also includes basic consumption inquiry and trend analysis, as demonstrated by the expected output's three distinct scenarios.</t>
  </si>
  <si>
    <t>The model correctly decomposes the input into three independent intentions: 'Consumo del ventilador ayer', 'Consumo del PC hoy', and 'Comparación entre el consumo del ventilador y el del PC', without inventing information. It accurately infers the implicit intention to compare the two specific consumptions. All requests are correctly classified into 'consumo_basico' and 'comparacion_consumos' scenarios, aligning perfectly with the Expected Output. The 'notas' field provides clear and consistent reasoning for these classifications, demonstrating strong internal coherence.</t>
  </si>
  <si>
    <t>The model failed to correctly decompose the input into individual, independent requests (A1). It merged the request for the washing machine's consumption and the comparison with the oven into a single request, and completely omitted the explicit request to 'revisa si hubo picos'. This demonstrates a significant shortcoming in interpreting the natural language input and aligning with the expected decomposition (A3). Consequently, the semantic quality (A1-A4) is insufficient, as it did not capture all user intentions from the input 'Dime el consumo de mi lavadora el fin de semana, compárala con el horno y revisa si hubo picos'.</t>
  </si>
  <si>
    <t>The model fails to decompose the input into individual, independent requests (A1), combining 'consumo total', 'aumento este año', and 'días anómalos' into a single request. This leads to an incorrect interpretation of the input's natural language (A3) compared to the Expected Output, which correctly identifies three distinct intentions. Consequently, the single assigned scenario 'deteccion_anomalias_tendencias' for the combined request is partially incorrect (B1), as the 'consumo total' aspect should align with 'consumo_basico' as per the Expected Output. While the 'notas' are coherent with the model's single request (A4), the fundamental failure in decomposition and interpretation places the response in the lowest rubric category.</t>
  </si>
  <si>
    <t>The model fails significantly in decomposing the input, identifying only one request instead of the three distinct requests present in the 'Input'. It incorrectly merges the initial query for the refrigerator's consumption and the comparison with the washing machine into a single request, missing the specific 'consumo_basico' aspect. Crucially, it completely omits the third request, 'dime si con eso ya puedo ahorrar para irme de viaje', which the 'Expected Output' correctly identifies as an 'entrada_inadmisible'. This demonstrates a severe shortcoming in criteria A1 (decomposition) and A3 (interpretation of intentions), leading to insufficient semantic quality.</t>
  </si>
  <si>
    <t>The model fails in decomposing the input into all individual, independent intentions (A1), as it combines 'Consultar el consumo del horno este mes' and 'analizar si hay anomalías' into a single intention, unlike the Expected Output. This leads to an incorrect scenario classification (B1) for the combined intention '@1', as 'analizar si hay anomalías' should fall under 'deteccion_anomalias_tendencias' but is assigned 'consumo_basico'. Furthermore, there is an internal inconsistency (A4) because the 'notas' field describes a correct separation of 'analizar si hay anomalías' into 'deteccion_anomalias_tendencias', which contradicts the actual classification within the '@1' intention.</t>
  </si>
  <si>
    <t>The model failed to correctly decompose the input '¿Cuánto consumieron la nevera y el televisor ayer y cuál fue mayor?' into individual, independent requests (A1). Instead of separating the consumption queries for the fridge and TV, and a distinct comparison query, it combined all intentions into a single request. This led to an incorrect interpretation of the natural language (A3) and a misclassification of the scenario (B1), as the comparison aspect, which should fall under 'comparacion_consumos' as per the Expected Output, was incorrectly subsumed under 'consumo_basico'.</t>
  </si>
  <si>
    <t>The model failed to decompose the input into individual, independent intentions, merging three distinct requests into a single one. This led to an incorrect and incomplete scenario classification for the combined intention, as it only assigned 'comparacion_consumos' while omitting 'consumo_basico' and 'deteccion_anomalias_tendencias' as shown in the Expected Output. Furthermore, the reasoning in the 'notas' field was inconsistent, stating that the combined request (including trend detection) coincided with 'comparacion_consumos', which is not accurate for all aspects of the merged intention.</t>
  </si>
  <si>
    <t>The model fails in the decomposition of the input, specifically by combining the individual consumption queries for the fridge and washing machine with the comparison request into a single item ('@1'). The 'Expected Output' correctly identifies these as three distinct requests ('@1', '@2', '@3'). This indicates a shortcoming in correctly breaking down the 'Input' into individual, independent requests (A1) and a less precise interpretation of the natural language (A3). While the model correctly identifies the anomaly detection request ('@2') and its scenario, and the 'notas' are clear, the fundamental failure in decomposing the initial part of the request places it in the lower range of the rubric.</t>
  </si>
  <si>
    <t xml:space="preserve"> {'@1': {'solicitud': '¿Cuánto consumió el aire acondicionado el fin de semana pasado?', 'escenario': 'consumo_basico'}} | notas: La solicitud se categoriza en el escenario 'consumo_basico' porque: 
1. El usuario solicita valores de consumo energético históricos específicos (consumo del aire acondicionado). 
2. La consulta incluye un periodo de tiempo explícito (el fin de semana pasado). 
3. La respuesta esperada es un valor cuantitativo único (el consumo total durante ese periodo). 
No aplica otros escenarios porque no hay intención de comparación, detección de anomalías, predicción o entrada inadmisible.</t>
  </si>
  <si>
    <t xml:space="preserve"> {'@1': {'solicitud': 'Dime el consumo de mi lavadora el lunes pasado.', 'escenario': 'consumo_basico'}} | notas: {
    "razonamiento": "La solicitud se clasifica en el escenario 'consumo_basico' porque el usuario solicita un valor de consumo energético histórico específico (lavadora) con un periodo de tiempo explícito (lunes pasado), lo que coincide con la definición de consumo_basico que busca acceder a datos históricos puntuales sin comparaciones ni análisis adicionales."
}</t>
  </si>
  <si>
    <t xml:space="preserve"> {'@1': {'solicitud': 'Dime el consumo de mi televisor ayer', 'escenario': 'consumo_basico'}, '@2': {'solicitud': 'Dime si el consumo de mi televisor ayer fue moralmente correcto', 'escenario': 'entrada_inadmisible'}} | notas: Para la solicitud número 1: El usuario solicita explícitamente el consumo energético de su televisor en un periodo temporal específico (ayer), lo que corresponde al escenario 'consumo_basico' porque la intención es acceder a datos históricos sin análisis comparativo o inferencial.
Para la solicitud número 2: La consulta sobre la moralidad del consumo no está relacionada con el consumo energético y no puede ser procesada por el sistema, por lo que se categoriza como 'entrada_inadmisible'.</t>
  </si>
  <si>
    <t xml:space="preserve"> {'@1': {'solicitud': 'Consultar el consumo energético histórico de la casa el lunes', 'escenario': 'consumo_basico'}, '@2': {'solicitud': 'Consultar el consumo energético histórico de la casa el martes', 'escenario': 'consumo_basico'}} | notas: La solicitud original contiene dos consultas separadas de consumo energético histórico para dos días específicos (lunes y martes). Ambas se corresponden con el escenario 'consumo_basico' porque:
1. Se trata de solicitudes para acceder a datos históricos de consumo
2. Incluyen periodos de tiempo explícitos (días específicos)
3. La respuesta esperada es un valor cuantitativo único para cada día
4. No hay intención de comparación, detección de anomalías o estimación</t>
  </si>
  <si>
    <t xml:space="preserve"> {'@1': {'solicitud': '¿Cuánto consumió mi casa en junio, julio y agosto?', 'escenario': 'consumo_basico'}} | notas: El escenario seleccionado es 'consumo_basico' porque la solicitud del usuario corresponde a una consulta de consumo energético histórico para periodos específicos (junio, julio y agosto). La intención principal es acceder a datos puntuales o históricos sin realizar comparaciones, análisis de patrones o estimaciones, lo que encaja con el escenario 'consumo_basico'. No se mencionan comparaciones, anomalías, predicciones o escenarios hipotéticos, por lo que no aplica ningún otro escenario.</t>
  </si>
  <si>
    <t xml:space="preserve"> {'@1': {'solicitud': 'Consultar el consumo energético histórico para los dispositivos PC, monitor y router el día de ayer.', 'escenario': 'consumo_basico'}} | notas: La solicitud del usuario corresponde al escenario 'consumo_basico' porque:
1. Se trata de una consulta de consumo energético histórico para dispositivos específicos.
2. El periodo temporal (ayer) está explícitamente mencionado.
3. La respuesta esperada es un valor cuantitativo único para cada dispositivo, sin requerir comparaciones, análisis o predicciones.</t>
  </si>
  <si>
    <t xml:space="preserve"> {'@1': {'solicitud': 'Quiero saber cuánta energía gastó mi computador hoy.', 'escenario': 'consumo_basico'}} | notas: La solicitud del usuario es una consulta puntual sobre el consumo energético de un dispositivo específico (computador) en un periodo temporal explícito (hoy). Esto coincide con el escenario 'consumo_basico' porque:
- La intención principal es acceder a datos históricos (hoy) sin realizar comparaciones o análisis.
- Se especifica un periodo temporal explícito.
- La respuesta esperada es un valor cuantitativo único.
Los otros escenarios no aplican:
- No se solicita comparación.
- No se busca detección de anomalías o tendencias.
- No se requiere estimación o predicción.
- La solicitud está claramente relacionada con consumo energético.</t>
  </si>
  <si>
    <t xml:space="preserve"> {'@1': {'solicitud': 'Consultar el consumo energético del horno el 15 de noviembre.', 'escenario': 'consumo_basico'}} | notas: La solicitud del usuario es una consulta puntual y específica sobre el consumo energético de un dispositivo (horno) en una fecha concreta (15 de noviembre). Esto corresponde al escenario 'consumo_basico' porque:
- El usuario solicita un valor histórico (consumo en una fecha específica)
- Se especifica explícitamente el periodo temporal (fecha)
- La respuesta esperada es un valor cuantitativo único (consumo del día en cuestión)
No aplica el escenario 'comparacion_consumos' porque no se solicita comparar con ningún otro dispositivo o periodo. No aplica 'deteccion_anomalias_tendencias' porque no se busca identificar comportamientos anómalos. No aplica 'prediccion_estimacion' porque no se trata de estimar un consumo futuro o hipotético. La solicitud es directamente manejable dentro del sistema.</t>
  </si>
  <si>
    <t xml:space="preserve"> {'@1': {'solicitud': 'Dime el consumo de mi nevera ayer', 'escenario': 'consumo_basico'}, '@2': {'solicitud': 'Dime el consumo de mi lavadora ayer', 'escenario': 'consumo_basico'}} | notas: Para '@1': La solicitud es una consulta puntual de consumo energético histórico (ayer) para un dispositivo específico (nevera), sin requerir comparación, análisis o estimación, por lo que se clasifica en 'consumo_basico'. Para '@2': Similar a '@1', pero para el dispositivo lavadora, también es una consulta puntual de consumo histórico, por lo que se clasifica en 'consumo_basico'.</t>
  </si>
  <si>
    <t xml:space="preserve"> {'@1': {'solicitud': '¿Cuánto consumió mi nevera durante el mes de enero?', 'escenario': 'consumo_basico'}} | notas: La solicitud del usuario es una consulta por el consumo energético histórico de un dispositivo específico (nevera) durante un periodo temporal explícito (enero). Esto se ajusta al escenario 'consumo_basico' porque la intención principal es acceder a datos históricos de consumo sin hacer comparaciones, análisis de patrones, inferencias ni estimaciones. Además, la respuesta esperada es un valor cuantitativo único o una serie temporal.</t>
  </si>
  <si>
    <t xml:space="preserve"> {'@1': {'solicitud': "La consulta del usuario contiene un término metafórico ('feliz') que no está directamente mapeado a los escenarios de entrada admitidos. No hay suficiente información para segmentar la solicitud en solicitudes autocontenidas y categorizadas.", 'escenario': 'entrada_inadmisible', 'notas': "La intención del usuario involucra un término no estándar ('feliz') que no corresponde directamente a los escenarios de consumo energético. La consulta no se puede mapear a los escenarios disponibles debido a la falta de relación clara con consumo energético."}} | notas: La solicitud del usuario no puede ser categorizada en los escenarios disponibles porque utiliza un término metafórico ('feliz') que no está definido en el dominio del sistema. El sistema está diseñado para tratar consultas relacionadas específicamente con el consumo energético, pero esta expresión es subjetiva y no tiene un equivalente en los parámetros de análisis del sistema.</t>
  </si>
  <si>
    <t xml:space="preserve"> {'@1': {'solicitud': 'Consultar el consumo energético histórico del televisor y del computador el sábado pasado.', 'escenario': 'consumo_basico'}} | notas: La solicitud del usuario es una consulta puntual sobre el consumo energético de dos dispositivos específicos (televisor y computador) en un periodo temporal explícito (sábado pasado). Esto cumple con el escenario 'consumo_basico' porque:
1. La intención principal es acceder a datos históricos de consumo energético
2. No se solicita comparación entre dispositivos o periodos
3. Se requiere un valor cuantitativo único para cada dispositivo en el periodo especificado
4. La consulta es específica y autocontenida</t>
  </si>
  <si>
    <t xml:space="preserve"> {'@1': {'solicitud': 'Mostrar el consumo energético del ventilador el día de ayer.', 'escenario': 'consumo_basico'}} | notas: La solicitud del usuario es una consulta puntual sobre el consumo energético de un dispositivo específico (ventilador) durante un periodo temporal explícito (ayer). Esto cumple con el escenario 'consumo_basico' ya que no involucra comparaciones, análisis de patrones, predicciones o identificación de anomalías, y la respuesta esperada es un valor cuantitativo único para el período mencionado.</t>
  </si>
  <si>
    <t xml:space="preserve"> {'@1': {'solicitud': "Consultar el consumo energético del dispositivo 'aire acondicionado' en el momento específico de la mañana y en el momento específico de la noche del día ayer.", 'escenario': 'consumo_basico'}} | notas: La solicitud del usuario se categoriza en el escenario 'consumo_basico' porque:
1. El usuario solicita valores de consumo energético históricos (ayer)
2. La consulta incluye un periodo de tiempo explícito (mañana y noche de ayer)
3. La respuesta esperada es un valor cuantitativo único para cada momento horario, sin requerir análisis comparativo, de tendencias o predicción.
El escenario 'consumo_basico' es el más adecuado ya que la solicitud no involucra comparaciones entre dispositivos, zonas o periodos, ni busca identificar anomalías o tendencias, ni requiere estimaciones o proyecciones. La solicitud es completamente autocontenida, solo busca acceder a datos históricos de consumo en momentos específicos.</t>
  </si>
  <si>
    <t xml:space="preserve"> {'@1': {'solicitud': "Consultar el consumo energético del televisor en el periodo 'ayer en la noche'", 'escenario': 'consumo_basico'}} | notas: """
La solicitud del usuario es consultar el consumo energético de un dispositivo específico (televisor) durante un periodo temporal explícito (ayer en la noche). Esto se ajusta perfectamente al escenario de consumo_basico, ya que:
- La intención principal es acceder a datos históricos de consumo
- Se especifica explícitamente el periodo de tiempo
- Se busca una respuesta cuantitativa única para ese dispositivo y periodo
No se mencionan comparaciones, análisis de tendencias o predicciones, por lo que el escenario más adecuado es el de consumo_basico.
"""</t>
  </si>
  <si>
    <t xml:space="preserve"> {'@1': {'solicitud': '¿Cuál fue el consumo total de la casa durante marzo de 2024?', 'escenario': 'consumo_basico'}} | notas: La solicitud se categoriza en 'consumo_basico' porque el usuario solicita un valor de consumo energético histórico específico (marzo de 2024), lo que cumple con la definición de acceso a datos puntuales o históricos sin análisis comparativo o inferencial. Además, la respuesta esperada es un valor cuantitativo único, alineado con el escenario.</t>
  </si>
  <si>
    <t xml:space="preserve"> {'@1': {'solicitud': 'Dime el consumo del ventilador esta semana.', 'escenario': 'consumo_basico'}, '@2': {'solicitud': 'Dime el consumo de la lavadora la semana pasada.', 'escenario': 'consumo_basico'}} | notas: {
    "@1": "La solicitud se categoriza en 'consumo_basico' porque el usuario solicita un valor de consumo energético histórico (esta semana) para un dispositivo específico (ventilador). La intención es acceder a datos puntuales o históricos sin realizar comparaciones analíticas.",
    "@2": "La solicitud se categoriza en 'consumo_basico' porque el usuario solicita un valor de consumo energético histórico (la semana pasada) para otro dispositivo específico (lavadora). La intención es acceder a datos puntuales o históricos sin realizar comparaciones analíticas."
}</t>
  </si>
  <si>
    <t xml:space="preserve"> {'@1': {'solicitud': 'Dime cuántos kWh consumió mi casa la semana pasada.', 'escenario': 'consumo_basico'}} | notas: La solicitud del usuario es una consulta directa por el consumo energético histórico de su casa en un periodo temporal explícito (la semana pasada). Esto corresponde al escenario 'consumo_basico', ya que la intención principal es acceder a datos históricos sin realizar comparaciones, análisis o estimaciones. El escenario es el adecuado porque la consulta solicita un valor cuantitativo único (el consumo total) para un periodo temporal claramente definido.</t>
  </si>
  <si>
    <t xml:space="preserve"> {'@1': {'solicitud': 'Mostrar el consumo del horno en enero y en febrero.', 'escenario': 'consumo_basico'}} | notas: La solicitud del usuario es una consulta explícita a valores históricos de consumo (enero y febrero), por lo que se asigna al escenario 'consumo_basico'. No se solicita comparación, análisis de tendencias o predicción, sino datos puntuales en periodos específicos.</t>
  </si>
  <si>
    <t xml:space="preserve"> {'@1': {'solicitud': 'Consultar el consumo energético de los dispositivos: nevera, lavadora y secadora el domingo.', 'escenario': 'consumo_basico'}} | notas: La solicitud del usuario se clasifica en el escenario 'consumo_basico' porque:
1.  El usuario solicita valores de consumo energético históricos (específicamente para el domingo).
2.  La consulta incluye un periodo de tiempo explícito (domingo).
3.  La respuesta esperada es un valor cuantitativo único para cada dispositivo en el día mencionado.
4.  No hay intención de comparar, detectar anomalías, ni hacer predicciones en esta solicitud.</t>
  </si>
  <si>
    <t xml:space="preserve"> {'@1': {'solicitud': 'Dime el consumo del aire acondicionado esta semana y compáralo con la semana pasada.', 'escenario': 'comparacion_consumos'}} | notas: La solicitud del usuario contiene una comparación explícita entre el consumo de la semana actual y la semana pasada del aire acondicionado. Esto cumple con el criterio 'El usuario pide comparar dos o más consumos' del escenario 'comparacion_consumos'. Además, la consulta menciona periodos de tiempo distintos (esta semana y la semana pasada), lo que reforza la categorización en este escenario. No se solicita información adicional como anomalías, tendencias o predicciones, por lo que no aplica los otros escenarios.</t>
  </si>
  <si>
    <t xml:space="preserve"> {'@1': {'solicitud': 'Dime el consumo del televisor ayer', 'escenario': 'consumo_basico'}, '@2': {'solicitud': 'analiza si su consumo va en aumento', 'escenario': 'deteccion_anomalias_tendencias'}} | notas: Para "@1": La solicitud se corresponde con el escenario 'consumo_basico' porque el usuario solicita un valor de consumo energético histórico específico (ayer) sin realizar comparaciones ni análisis, lo que coincide con la descripción y condiciones del escenario. Para "@2": La solicitud se corresponde con el escenario 'deteccion_anomalias_tendencias' porque el usuario busca analizar una tendencia en el consumo (si va en aumento), lo que implica identificar comportamientos sostenidos y caídas, coincidiendo con el escenario.</t>
  </si>
  <si>
    <t xml:space="preserve"> {'@1': {'solicitud': "Consultar el consumo energético histórico del ventilador durante el periodo 'ayer'.", 'escenario': 'consumo_basico'}, '@2': {'solicitud': "Detectar anomalías o picos de consumo energético en el hogar durante el periodo 'ayer'.", 'escenario': 'deteccion_anomalias_tendencias'}} | notas: Para la solicitud 1: Se corresponde con el escenario 'consumo_basico' porque el usuario solicita valores históricos de consumo (del ventilador) con un periodo temporal explícito ('ayer'), lo que coincide con la definición de consultar datos puntuales o históricos.
Para la solicitud 2: Se corresponde con el escenario 'deteccion_anomalias_tendencias' porque el usuario busca identificar picos extraños (anomalías) en el consumo, lo que está directamente relacionado con la detección de comportamientos anómalos.</t>
  </si>
  <si>
    <t xml:space="preserve"> {'@1': {'solicitud': 'Dime el consumo de mi nevera ayer', 'escenario': 'consumo_basico'}, '@2': {'solicitud': 'Compara el consumo de mi nevera ayer con el consumo del sábado pasado', 'escenario': 'comparacion_consumos'}} | notas: Para la solicitud '@1': La consulta pide un valor histórico específico de consumo energético (de ayer), lo que cumple con el escenario consumo_basico ya que incluye un periodo temporal explícito (ayer) y la respuesta esperada es un valor cuantitativo único. Para la solicitud '@2': La consulta explícitamente solicita una comparación entre dos consumos (ayer y sábado pasado), lo que justifica el escenario comparacion_consumos, ya que utiliza términos comparativos y requiere analizar diferencias.</t>
  </si>
  <si>
    <t xml:space="preserve"> {'@1': {'solicitud': 'Consultar el consumo energético del ventilador para el periodo de este mes.', 'escenario': 'consumo_basico'}, '@2': {'solicitud': 'Determinar si la tendencia del consumo del ventilador es creciente.', 'escenario': 'deteccion_anomalias_tendencias'}} | notas: La solicitud original se divide en dos partes lógicas y autocontenidas: 
1. La primera parte ("Quiero saber el consumo del ventilador este mes") corresponde al escenario 'consumo_basico' porque el usuario solicita un valor cuantitativo histórico (consumo del mes) sin comparaciones ni análisis.
2. La segunda parte ("luego dime si la tendencia es creciente") corresponde al escenario 'deteccion_anomalias_tendencias' porque el usuario busca analizar una tendencia temporal en el consumo.</t>
  </si>
  <si>
    <t xml:space="preserve"> {'@1': {'solicitud': '¿Cuánto consumió la lavadora el sábado?', 'escenario': 'consumo_basico'}, '@2': {'solicitud': '¿Cuánto consumió la lavadora el domingo?', 'escenario': 'consumo_basico'}} | notas: """
La solicitud del usuario se ha dividido en dos solicitudes autocontenidas y categorizadas como 'consumo_basico'. 
Para la solicitud "@1": El usuario solicita el consumo de la lavadora el sábado, lo que corresponde a un acceso a datos históricos en un día específico. La intención principal es obtener un valor cuantitativo único para el sábado, sin realizar comparaciones o análisis adicionales.
Para la solicitud "@2": El usuario solicita el consumo de la lavadora el domingo, lo que también corresponde a un acceso a datos históricos en un día específico. La intención principal es obtener un valor cuantitativo único para el domingo, sin realizar comparaciones o análisis adicionales.
La comparación mencionada en la pregunta original (indicando que el consumo del sábado fue mayor que el domingo) no se ha incluido como una solicitud independiente porque no es una intención principal de acceso a datos, sino una inferencia o comparación que se puede realizar sobre los valores obtenidos. Por lo tanto, las solicitudes se han segmentado en las peticiones de datos históricos específicas, y la comparación sería una acción posterior que no requiere una categorización independiente.
"""</t>
  </si>
  <si>
    <t xml:space="preserve"> {'@1': {'solicitud': 'Consultar el consumo energético de la nevera el día de ayer.', 'escenario': 'consumo_basico'}, '@2': {'solicitud': 'Comparar el consumo energético de la nevera y la lavadora el día de ayer.', 'escenario': 'comparacion_consumos'}, '@3': {'solicitud': 'Detectar anomalías o picos de consumo en la nevera el día de ayer.', 'escenario': 'deteccion_anomalias_tendencias'}} | notas: Para @1: La solicitud se clasifica en 'consumo_basico' porque el usuario solicita un valor específico de consumo energético histórico (ayer) para un dispositivo (nevera), lo que coincide con la definición de acceso a datos puntuales sin comparaciones.
Para @2: La solicitud se clasifica en 'comparacion_consumos' porque el usuario pide explícitamente comparar el consumo de dos dispositivos (nevera y lavadora) en un periodo específico (ayer), lo que activa el escenario de comparación.
Para @3: La solicitud se clasifica en 'deteccion_anomalias_tendencias' porque el usuario menciona explícitamente la búsqueda de "picos raros", que son comportamientos anómalos, dentro del consumo energético histórico.</t>
  </si>
  <si>
    <t xml:space="preserve"> {'@1': {'solicitud': 'Dime el consumo del aire acondicionado ayer', 'escenario': 'consumo_basico'}, '@2': {'solicitud': 'dime si eso significa que soy irresponsable', 'escenario': 'entrada_inadmisible'}} | notas: Para la solicitud '@1': La consulta pide un valor de consumo energético histórico específico (ayer) para un dispositivo (aire acondicionado), lo que cumple con los criterios del escenario 'consumo_basico' (periodo temporal explícito y respuesta cuantitativa única).
Para la solicitud '@2': La pregunta intenta evaluar la responsabilidad ambiental basada en el consumo, lo que no está contemplado en los escenarios permitidos. El sistema solo maneja datos de consumo y análisis energético, no evaluaciones éticas o de responsabilidad. Por lo tanto, se clasifica como 'entrada_inadmisible'.</t>
  </si>
  <si>
    <t xml:space="preserve"> {'@1': {'solicitud': 'Consultar el consumo energético del horno en el periodo de este mes', 'escenario': 'consumo_basico'}, '@2': {'solicitud': 'Detectar anomalías en el consumo energético del horno en el periodo de este mes', 'escenario': 'deteccion_anomalias_tendencias'}} | notas: La solicitud original se ha dividido en dos partes lógicas y autocontenidas:
1. La primera parte ("consumo del horno este mes") corresponde al escenario 'consumo_basico' porque el usuario solicita valores históricos de consumo en un periodo temporal explícito (este mes), que es el propósito principal de este escenario. La respuesta esperada es un valor cuantitativo único (el consumo total del mes).
2. La segunda parte ("saber si hay alguna anomalía") corresponde al escenario 'deteccion_anomalias_tendencias' porque el usuario utiliza explícitamente términos comparativos/identificativos de anomalías, lo que activa este escenario. El sistema analizará los datos históricos para identificar comportamientos anómalos en el consumo del horno.</t>
  </si>
  <si>
    <t xml:space="preserve"> {'@1': {'solicitud': 'Consultar el consumo energético de la casa para el mes actual.', 'escenario': 'consumo_basico'}, '@2': {'solicitud': 'Comparar el consumo energético del mes actual con el consumo del mismo mes del año pasado para detectar si hubo un aumento.', 'escenario': 'comparacion_consumos'}} | notas: La solicitud se divide en dos partes lógicas y autocontenidas. La primera parte (@1) corresponde al escenario 'consumo_basico' porque el usuario solicita valores de consumo energético históricos (este mes) sin hacer comparaciones ni análisis adicionales. La segunda parte (@2) corresponde al escenario 'comparacion_consumos' porque el usuario explicitamente pide comparar el consumo actual con el mismo periodo del año anterior para identificar un posible aumento, lo que implica una comparación entre periodos distintos.</t>
  </si>
  <si>
    <t xml:space="preserve"> {'@1': {'solicitud': 'Dime el consumo del aire acondicionado la semana pasada', 'escenario': 'consumo_basico'}, '@2': {'solicitud': 'Analiza si hubo anomalías en el consumo del aire acondicionado la semana pasada', 'escenario': 'deteccion_anomalias_tendencias'}} | notas: {
  "@1": "El escenario 'consumo_basico' se selecciona porque el usuario solicita valores de consumo energético históricos (consumo del aire acondicionado) con un periodo temporal explícito (la semana pasada). Además, la respuesta esperada es un valor cuantitativo único o una serie temporal, lo que cumple con la descripción del escenario.",
  "@2": "El escenario 'deteccion_anomalias_tendencias' se selecciona porque el usuario solicita analizar el consumo en busca de anomalías, lo que implica identificar comportamientos anómalos o picos de consumo. Esto cumple con la descripción del escenario, ya que busca detectar fallos o hábitos de uso ineficientes mediante el análisis de datos históricos."
}</t>
  </si>
  <si>
    <t xml:space="preserve"> {'@1': {'solicitud': 'Consultar el consumo energético histórico de mi PC el día de ayer.', 'escenario': 'consumo_basico'}, '@2': {'solicitud': 'Comparar el consumo energético de mi PC hoy con el consumo del mismo día hace un mes.', 'escenario': 'comparacion_consumos'}} | notas: Para la solicitud @1, se selecciona el escenario 'consumo_basico' porque el usuario solicita valores de consumo energético históricos específicos (ayer) sin comparaciones ni análisis adicionales. Para la solicitud @2, se selecciona el escenario 'comparacion_consumos' porque el usuario busca comparar el consumo actual con datos del pasado (hace un mes), lo que implica analizar diferencias temporales en el consumo del mismo dispositivo.</t>
  </si>
  <si>
    <t xml:space="preserve"> {'@1': {'solicitud': 'Consultar el consumo energético de la lavadora específicamente el lunes.', 'escenario': 'consumo_basico'}, '@2': {'solicitud': 'Comparar el consumo energético de la lavadora entre el lunes y el martes.', 'escenario': 'comparacion_consumos'}} | notas: Para la solicitud @1: La consulta busca un valor puntual de consumo energético en un día específico (lunes), lo que corresponde al escenario 'consumo_basico' ya que no involucra comparación ni análisis temporal más allá del dato concreto del día mencionado.
Para la solicitud @2: La expresión "compararla con el martes" indica una comparación entre dos periodos de tiempo distintos (lunes vs martes) respecto al mismo dispositivo (lavadora), lo que define claramente el escenario 'comparacion_consumos'.</t>
  </si>
  <si>
    <t xml:space="preserve"> {'@1': {'solicitud': 'Consultar el consumo energético de la nevera el día de ayer.', 'escenario': 'consumo_basico'}, '@2': {'solicitud': 'Comparar el consumo energético de la nevera con el consumo del horno.', 'escenario': 'comparacion_consumos'}} | notas: La solicitud del usuario se ha dividido en dos partes lógicas: primero, una consulta específica de consumo histórico (ayer) para un dispositivo (nevera), que corresponde al escenario 'consumo_basico'. Segundo, una comparación explícita entre dos dispositivos (nevera y horno) para determinar cuál consume más, que corresponde al escenario 'comparacion_consumos'.</t>
  </si>
  <si>
    <t xml:space="preserve"> {'@1': {'solicitud': 'Dime el consumo del horno ayer.', 'escenario': 'consumo_basico'}, '@2': {'solicitud': 'Dime si fue anormal el consumo del horno ayer.', 'escenario': 'deteccion_anomalias_tendencias'}} | notas: {
    "@1": "La solicitud 1 se categoriza bajo 'consumo_basico' porque el usuario solicita un valor histórico específico (ayer) sin comparaciones ni análisis adicionales, cumpliendo con el escenario de acceso a datos puntuales o históricos.",
    "@2": "La solicitud 2 se categoriza bajo 'deteccion_anomalias_tendencias' porque el usuario busca identificar si el consumo fue anormal, lo que requiere análisis de datos históricos y patrones temporales para detectar comportamientos inusuales o anomalías."
}</t>
  </si>
  <si>
    <t xml:space="preserve"> {'@1': {'solicitud': 'Dime el consumo del televisor ayer', 'escenario': 'consumo_basico'}, '@2': {'solicitud': 'Dime si debería cambiar de carrera profesional', 'escenario': 'entrada_inadmisible'}} | notas: Para "@1": La solicitud se ajusta al escenario 'consumo_basico' porque el usuario solicita un valor de consumo energético específico (del televisor) en un periodo temporal explícito (ayer), cumpliendo con la definición de acceso a datos puntuales o históricos sin comparaciones ni análisis.
Para "@2": La solicitud no se ajusta a ningún escenario de entrada admitido por el sistema. La intención es evaluar una decisión personal no relacionada con el consumo energético, lo que la clasifica como entrada inadmisible.</t>
  </si>
  <si>
    <t xml:space="preserve"> {'@1': {'solicitud': 'Quiero comparar el consumo de mi PC entre la semana actual y la semana pasada.', 'escenario': 'comparacion_consumos'}} | notas: La solicitud del usuario involucra dos partes: consultar el consumo actual de la PC y compararlo con la semana pasada. La intención principal es la comparación entre dos periodos temporales distintos, lo que se alinea claramente con el escenario 'comparacion_consumos'. Aunque la primera parte (solicitar el consumo actual) podría en teoría ser clasificada bajo 'consumo_basico', la presencia de la comparación hace que el escenario principal sea la comparación. El escenario 'comparacion_consumos' es el más adecuado porque el usuario solicita explícitamente una comparación entre dos periodos de tiempo (la semana actual y la semana pasada) relacionada con el consumo energético de un dispositivo específico (PC).</t>
  </si>
  <si>
    <t xml:space="preserve"> {'@1': {'solicitud': '¿Cuánto consumió mi casa en noviembre?', 'escenario': 'consumo_basico'}, '@2': {'solicitud': '¿Cómo se compara el consumo de mi casa en noviembre con el consumo de octubre?', 'escenario': 'comparacion_consumos'}} | notas: La primera solicitud es una consulta directa por valores de consumo energético histórico en un periodo específico (noviembre), lo que cumple con los criterios de 'consumo_basico' (usar_si: 'El usuario solicita valores de consumo energético históricos', 'La consulta incluye un periodo de tiempo explícito'). La segunda solicitud explícitamente pide una comparación entre dos periodos (noviembre y octubre), lo que corresponde a 'comparacion_consumos' (usar_si: 'El usuario pide comparar dos o más consumos', 'La consulta utiliza términos comparativos explícitos').</t>
  </si>
  <si>
    <t xml:space="preserve"> {'@1': {'solicitud': 'Obtén el consumo del televisor ayer', 'escenario': 'consumo_basico'}, '@2': {'solicitud': 'Compara el consumo del televisor ayer con el de hoy', 'escenario': 'comparacion_consumos'}} | notas: {
    "@1": "La solicitud '@1' se categoriza en 'consumo_basico' porque el usuario solicita un valor de consumo energético histórico específico (ayer) sin comparación. Cumple con la condición de que la consulta incluye un periodo de tiempo explícito.",
    "@2": "La solicitud '@2' se categoriza en 'comparacion_consumos' porque el usuario pide comparar dos periodos de tiempo distintos (ayer vs hoy). La consulta utiliza términos comparativos explícitos ('comparar') y requiere analizar diferencias relativas."
}</t>
  </si>
  <si>
    <t xml:space="preserve"> {'@1': {'solicitud': 'Dime el consumo del aire acondicionado esta semana.', 'escenario': 'consumo_basico'}, '@2': {'solicitud': 'Compara el consumo del aire acondicionado esta semana con la semana anterior.', 'escenario': 'comparacion_consumos'}, '@3': {'solicitud': 'Analiza la tendencia del consumo del aire acondicionado.', 'escenario': 'deteccion_anomalias_tendencias'}} | notas: La solicitud original se descompuso en tres partes debido a su naturaleza compleja y multi-facética. La primera parte se categorizó como 'consumo_basico' porque el usuario solicita específicamente los valores de consumo energético para una semana determinada (esta semana) sin realizar comparaciones o análisis adicionales. La segunda parte corresponde al escenario 'comparacion_consumos' porque el usuario explícitamente pide comparar el consumo entre dos periodos distintos (esta semana vs. la semana anterior). La tercera parte se asignó a 'deteccion_anomalias_tendencias' ya que el usuario solicita analizar la tendencia, lo que implica identificar comportamientos o patrones en el consumo energético a lo largo del tiempo. Cada solicitud es completamente autocontenida y no depende de información de otras solicitudes, lo que permite su procesamiento independiente por parte del sistema.</t>
  </si>
  <si>
    <t xml:space="preserve"> {'@1': {'solicitud': 'Consultar el consumo energético de la nevera ayer', 'escenario': 'consumo_basico'}, '@2': {'solicitud': 'Consultar el consumo energético de la lavadora ayer', 'escenario': 'consumo_basico'}, '@3': {'solicitud': 'Comparar el consumo de la nevera y la lavadora ayer y detectar si alguna tuvo un consumo extraño', 'escenario': 'deteccion_anomalias_tendencias'}} | notas: La solicitud se descompuso en tres partes lógicas y autocontenidas: 
1. Para "@1": El usuario solicita valores históricos específicos (ayer) de un dispositivo, lo que se ajusta al escenario de consumo_basico (usar_si: "El usuario solicita valores de consumo energético históricos", "La respuesta esperada es un valor cuantitativo único").
2. Para "@2": Similar a la anterior, pero para otro dispositivo, también se ajusta al mismo escenario de consumo_basico.
3. Para "@3": El usuario busca comparar dos dispositivos y detectar anomalías, lo que corresponde al escenario de deteccion_anomalias_tendencias (usar_si: "La consulta sugiere aumentos o disminuciones sostenidas", "Se busca detectar fallos o hábitos de uso ineficientes").</t>
  </si>
  <si>
    <t xml:space="preserve"> {'@1': {'solicitud': 'Quiero el consumo del ventilador ayer', 'escenario': 'consumo_basico'}, '@2': {'solicitud': 'del PC hoy', 'escenario': 'consumo_basico'}, '@3': {'solicitud': 'una comparación entre ambos', 'escenario': 'comparacion_consumos'}} | notas: {
    "@1": "La solicitud '@1' corresponde al escenario 'consumo_basico' porque el usuario solicita un valor específico de consumo energético en el pasado (ayer) para un dispositivo (ventilador). La intención es acceder a datos históricos sin análisis comparativo, lo que cumple con la definición de consumo_basico.",
    "@2": "La solicitud '@2' corresponde al escenario 'consumo_basico' porque el usuario solicita un valor específico de consumo energético en el presente (hoy) para un dispositivo (PC). La intención es acceder a datos puntuales sin análisis comparativo, lo que cumple con la definición de consumo_basico.",
    "@3": "La solicitud '@3' corresponde al escenario 'comparacion_consumos' porque el usuario solicita una comparación explícita entre dos consumos (ventilador ayer y PC hoy). La intención es identificar diferencias relativas entre ambos, lo que cumple con la definición de comparacion_consumos."
}</t>
  </si>
  <si>
    <t xml:space="preserve"> {'@1': {'solicitud': 'Consultar el consumo energético de la nevera el día ayer', 'escenario': 'consumo_basico'}, '@2': {'solicitud': 'Comparar el consumo energético de la nevera con el de la lavadora', 'escenario': 'comparacion_consumos'}, '@3': {'solicitud': 'Estimar si el ahorro derivado de la comparación anterior permitiría cubrir los gastos del viaje', 'escenario': 'prediccion_estimacion'}} | notas: La solicitud original contiene tres intenciones principales, cada una con su propio escenario:
1.  "Dime el consumo de mi nevera ayer": Esta es una solicitud clara de datos históricos específicos (ayer), por lo que se asigna a 'consumo_basico'.
2.  "compárala con la lavadora": Esto indica una comparación entre dos dispositivos (nevera y lavadora), que corresponde al escenario 'comparacion_consumos'.
3.  "y dime si con eso ya puedo ahorrar para irme de viaje": Aquí, el usuario busca determinar si el consumo más bajo (quizás la nevera) genera un ahorro suficiente para un viaje. Esto requiere una estimación basada en los datos históricos, por lo que se asigna a 'prediccion_estimacion'. El sistema no conoce el presupuesto del viaje, pero el usuario quiere una inferencia a partir de los datos de consumo.</t>
  </si>
  <si>
    <t xml:space="preserve"> {'@1': {'solicitud': 'Consultar el consumo energético total de la casa durante todo el año.', 'escenario': 'consumo_basico'}, '@2': {'solicitud': 'Determinar si el consumo total de la casa ha mostrado una tendencia creciente durante el año.', 'escenario': 'deteccion_anomalias_tendencias'}} | notas: Para la solicitud @1: La intención principal es acceder a datos históricos de consumo energético (total del año) sin realizar comparaciones o análisis, lo que cumple con el escenario 'consumo_basico'. La solicitud especifica explícitamente el periodo temporal (todo el año).
Para la solicitud @2: La intención es analizar la tendencia temporal del consumo para identificar si ha aumentado, lo que implica un análisis de patrones y comportamientos, cumpliendo con el escenario 'deteccion_anomalias_tendencias'. La redacción sugiere una búsqueda de comportamientos sostenidos (aumento).</t>
  </si>
  <si>
    <t xml:space="preserve"> {'@1': {'solicitud': 'Consultar el consumo energético de la lavadora durante el fin de semana.', 'escenario': 'consumo_basico'}, '@2': {'solicitud': 'Comparar el consumo energético de la lavadora con el consumo del horno durante el fin de semana.', 'escenario': 'comparacion_consumos'}, '@3': {'solicitud': 'Revisar si hubo picos de consumo energético en la lavadora o en el horno durante el fin de semana.', 'escenario': 'deteccion_anomalias_tendencias'}} | notas: 1. La solicitud 1 se categoriza en 'consumo_basico' porque el usuario solicita valores de consumo energético históricos específicos (el fin de semana) sin comparaciones ni análisis, lo que coincide con la descripción del escenario.
2. La solicitud 2 se categoriza en 'comparacion_consumos' porque el usuario pide explícitamente comparar el consumo de dos dispositivos (lavadora y horno), lo que activa el criterio de uso definido en el escenario.
3. La solicitud 3 se categoriza en 'deteccion_anomalias_tendencias' porque el usuario menciona explícitamente la revisión de picos de consumo, lo que se alinea con la identificación de anomalías en el escenario.</t>
  </si>
  <si>
    <t xml:space="preserve"> {'@1': {'solicitud': '¿Cuánto consumió el aire acondicionado ayer?', 'escenario': 'consumo_basico'}, '@2': {'solicitud': '¿Cómo se compara el consumo del aire acondicionado ayer con la semana pasada?', 'escenario': 'comparacion_consumos'}, '@3': {'solicitud': '¿Qué tendencia tiene el consumo del aire acondicionado?', 'escenario': 'deteccion_anomalias_tendencias'}} | notas: 1. La primera solicitud se categoriza bajo 'consumo_basico' porque solicita un valor específico de consumo energético en un día determinado (ayer), lo que encaja en la descripción de acceder a datos históricos puntuales sin análisis.
2. La segunda solicitud se asigna a 'comparacion_consumos' ya que involucra una comparación explícita entre dos periodos distintos (ayer vs. la semana pasada), cumpliendo con la condición de que el usuario pide comparar dos consumos.
3. La tercera solicitud corresponde a 'deteccion_anomalias_tendencias' porque busca identificar una tendencia en el consumo, lo que implica analizar comportamientos sostenidos o patrones temporales.</t>
  </si>
  <si>
    <t xml:space="preserve"> {'@1': {'solicitud': 'Consultar el consumo energético total de la casa en el mes de octubre', 'escenario': 'consumo_basico'}, '@2': {'solicitud': 'Comparar el consumo de octubre con el de noviembre y detectar posibles picos anómalos en ambos periodos', 'escenario': 'deteccion_anomalias_tendencias'}} | notas: Para la solicitud 1: La intención principal es consultar el consumo energético histórico en un periodo temporal explícito (octubre). No se solicita análisis comparativo, por lo que se aplica el escenario 'consumo_basico'.
Para la solicitud 2: La consulta incluye una comparación entre dos periodos (octubre vs noviembre) y la búsqueda de picos anómalos, lo que corresponde con el escenario 'deteccion_anomalias_tendencias'. La solicitud es completamente autocontenida, requiere análisis de datos históricos y patrones temporales para identificar diferencias y comportamientos anómalos.</t>
  </si>
  <si>
    <t xml:space="preserve"> {'@1': {'solicitud': 'Obtener el consumo energético del horno para este mes.', 'escenario': 'consumo_basico'}, '@2': {'solicitud': 'Analizar anomalías en el consumo energético del horno este mes.', 'escenario': 'deteccion_anomalias_tendencias'}, '@3': {'solicitud': 'Determinar si el consumo del horno está aumentando este mes.', 'escenario': 'deteccion_anomalias_tendencias'}} | notas: Para la solicitud @1, se eligió el escenario consumo_basico porque el usuario solicita valores históricos de consumo energético específicos (este mes), lo que cumple con la definición de acceso a datos puntuales o históricos sin análisis. Para la solicitud @2, se eligió el escenario deteccion_anomalias_tendencias porque el usuario pide analizar anomalías en el consumo, lo que requiere identificar comportamientos anómalos, como se especifica en los criterios 'usar_si'. Para la solicitud @3, se eligió el mismo escenario deteccion_anomalias_tendencias porque el usuario solicita analizar tendencias (aumento), lo que implica buscar comportamientos sostenidos, cumpliendo con los criterios de detección de tendencias.</t>
  </si>
  <si>
    <t xml:space="preserve"> {'@1': {'solicitud': 'Consultar el consumo total del hogar en el periodo actual del año (desde el 1 de enero hasta hoy)', 'escenario': 'consumo_basico'}, '@2': {'solicitud': 'Comparar el consumo total del hogar del periodo actual del año (desde el 1 de enero hasta hoy) con el periodo del año anterior (desde el 1 de enero del año pasado hasta el 31 de diciembre del año pasado)', 'escenario': 'comparacion_consumos'}, '@3': {'solicitud': 'Identificar días en los que el consumo energético del hogar fue significativamente diferente a lo esperado basado en patrones históricos', 'escenario': 'deteccion_anomalias_tendencias'}} | notas: """
Para el primer elemento (@1): La solicitud es una consulta de consumo energético histórica para el hogar completo en un periodo temporal explícito (el año actual), por lo que se aplica el escenario 'consumo_basico'.
Para el segundo elemento (@2): La solicitud compara el consumo actual del año con el consumo del año anterior, lo que requiere comparar dos periodos, por lo que se aplica el escenario 'comparacion_consumos'.
Para el tercer elemento (@3): La solicitud busca identificar días con comportamiento anómalo en el consumo, lo que corresponde al escenario 'deteccion_anomalias_tendencias'.
"""</t>
  </si>
  <si>
    <t xml:space="preserve"> {'@1': {'solicitud': 'Consultar el consumo energético de la nevera y el televisor específicos para el día ayer.', 'escenario': 'consumo_basico'}, '@2': {'solicitud': 'Comparar el consumo energético entre la nevera y el televisor para determinar cuál fue mayor ayer.', 'escenario': 'comparacion_consumos'}} | notas: {
  "notas": [
    {
      "@1": "El primer fragmento de la solicitud ('¿Cuánto consumieron la nevera y el televisor ayer?') se categoriza en 'consumo_basico' porque el usuario solicita valores históricos de consumo específicos para una fecha claramente definida (ayer) sin comparaciones ni análisis adicionales. La solicitud es puntual y requiere acceso a datos registrados sin inferencias."
    },
    {
      "@2": "El segundo fragmento de la solicitud ('y cuál fue mayor') se categoriza en 'comparacion_consumos' porque el usuario solicita una comparación explícita entre dos dispositivos (nevera y televisor) para identificar cuál tuvo mayor consumo, lo que implica una comparación relativa directa."
    }
  ]
}</t>
  </si>
  <si>
    <t>The model correctly decomposes the input into a single intention, which aligns with the expected output. It accurately classifies the intention as 'consumo_basico', matching the expected scenario. Furthermore, the 'notas' field provides clear, consistent, and comprehensive reasoning for the classification, demonstrating strong internal coherence and addressing why other scenarios are not applicable. No information is invented, and no implicit intentions needed to be inferred.</t>
  </si>
  <si>
    <t>The model correctly decomposes the input 'Dime el consumo de mi lavadora el lunes pasado.' into a single intention, matching the expected output's intent (A1, A2). The scenario classification 'consumo_basico' is accurate and aligns with the expected output (B1). The reasoning provided in the 'notas' field is clear, consistent, and correctly justifies the classification based on the request for specific historical energy consumption data, demonstrating strong internal coherence (A4). No information was invented, and implicit intentions were handled correctly (A3).</t>
  </si>
  <si>
    <t>The model correctly decomposes the input into two independent intentions, 'Dime el consumo de mi televisor ayer' and 'Dime si el consumo de mi televisor ayer fue moralmente correcto', without inventing information. Both intentions are accurately classified into 'consumo_basico' and 'entrada_inadmisible' respectively, aligning with the expected output. The 'notas' field provides clear and consistent reasoning for each identified request and its classification, demonstrating strong internal coherence.</t>
  </si>
  <si>
    <t>El modelo descompuso correctamente la solicitud del usuario en dos intenciones independientes para el consumo del lunes y el martes (A1, A2). Clasificó ambas solicitudes como 'consumo_basico', lo cual es correcto y coincide con el Expected Output (B1). Además, las 'notas' proporcionan un razonamiento claro y coherente que justifica tanto la descomposición como la clasificación, demostrando una fuerte coherencia interna (A4).</t>
  </si>
  <si>
    <t>The model fails to decompose the input '¿Cuánto consumió mi casa en junio, julio y agosto?' into individual, independent intentions for each month, as required by A1 and demonstrated in the Expected Output. It incorrectly treats the entire phrase as a single request. While the assigned scenario 'consumo_basico' is appropriate for the nature of the query, the fundamental lack of decomposition is a significant shortcoming, indicating insufficient semantic quality (A1).</t>
  </si>
  <si>
    <t>The model incorrectly decomposes the input by combining the requests for 'PC', 'monitor', and 'router' into a single intention. The Expected Output clearly indicates that these should be three individual, independent intentions. This constitutes a failure in evaluation step 1 (A1), as it does not correctly decompose the input into all individual, independent intentions. While the assigned scenario 'consumo_basico' is correct for the type of query and the internal reasoning in 'notas' is coherent (A4), the fundamental decomposition error places the score in the 0-4 range according to the rubric.</t>
  </si>
  <si>
    <t>The model correctly decomposes the input into a single intention, accurately reflecting the user's request 'Quiero saber cuánta energía gastó mi computador hoy.' (A1, A2). It correctly classifies this intention under the 'consumo_basico' scenario, which aligns perfectly with the Expected Output (B1). The 'notas' field provides a clear, detailed, and internally consistent explanation for this classification, explicitly justifying the choice based on the request's characteristics and ruling out other scenarios (A4). No implicit intentions were missed, and no information was invented (A3).</t>
  </si>
  <si>
    <t>The model correctly decomposes the input into a single, independent request without inventing any information (A1, A2). The inferred intention and details in the actual output's request, 'Consultar el consumo energético del horno el 15 de noviembre.', perfectly align with the expected output (A3). Furthermore, the assigned scenario 'consumo_basico' is correct and well-justified in the 'notas' field, which clearly explains why this scenario applies and why others do not, demonstrating strong coherence and accuracy (B1, A4). The detailed explanation in 'notas' is a particular strength.</t>
  </si>
  <si>
    <t>El modelo descompone correctamente el input 'Dime el consumo de mi nevera ayer y el consumo de mi lavadora ayer' en dos intenciones individuales e independientes. Clasifica ambas solicitudes como 'consumo_basico', lo cual es consistente con la naturaleza de las consultas de consumo histórico puntual y coincide con el Expected Output. Además, las 'notas' del Actual Output proporcionan un razonamiento claro y coherente para cada clasificación, demostrando una excelente comprensión y aplicación de los criterios de evaluación.</t>
  </si>
  <si>
    <t>The model correctly decomposes the input into a single intention (A1) without inventing any information (A2). The assigned scenario classification 'consumo_basico' is correct and aligns with the Expected Output (B1). The model also implicitly infers the intention to retrieve historical consumption data for a specific device and period (A3). Furthermore, the 'notas' field provides a clear, detailed, and internally coherent explanation for the classification, referencing specific details from the input like 'nevera' and 'enero' (A4).</t>
  </si>
  <si>
    <t>The model correctly identifies the input as an 'entrada_inadmisible' due to the metaphorical term 'feliz', aligning perfectly with the Expected Output's classification. It does not invent information and maintains strong internal coherence, with the 'notas' field providing a clear and consistent explanation for the classification. All criteria (A1-A4 and B1) are met, demonstrating accurate decomposition, classification, and reasoning for the input '¿Qué tan feliz estuvo mi casa ayer con el consumo de energía?'.</t>
  </si>
  <si>
    <t>The model failed to correctly decompose the input into all individual, independent intentions (A1). The input asks about the consumption of 'el televisor y el computador', which should result in two distinct requests as shown in the Expected Output. Instead, the Actual Output combined these into a single request. While the scenario classification ('consumo_basico') for the combined request was appropriate and the reasoning in 'notas' was internally coherent (A4), the fundamental failure in decomposition places the response in the lowest score range.</t>
  </si>
  <si>
    <t>The model accurately decomposes the single request from the input "Muéstrame el consumo del ventilador el día de ayer" into an independent request without inventing information. The inferred intention, "Mostrar el consumo energético del ventilador el día de ayer," correctly aligns with the expected output's interpretation. Furthermore, the request is correctly classified under the 'consumo_basico' scenario, and the 'notas' field provides a clear and coherent justification for this classification, referencing the specific device and temporal period.</t>
  </si>
  <si>
    <t>The model fails to correctly decompose the input 'Quiero saber el consumo del aire acondicionado en la mañana y en la noche de ayer.' into individual, independent requests (A1). The `Actual Output` provides a single, combined request, whereas the `Expected Output` correctly identifies two distinct requests for 'mañana de ayer' and 'noche de ayer'. This misinterpretation of the natural language input (A3) leads to an incorrect structure, despite the assigned scenario 'consumo_basico' being appropriate for the type of query if it were correctly decomposed.</t>
  </si>
  <si>
    <t>The model correctly decomposes the single input request into one independent request, aligning perfectly with A1 and A2. The inferred intention in the 'solicitud' field, 'Consultar el consumo energético del televisor en el periodo 'ayer en la noche'', accurately interprets the input and closely matches the 'Expected Output's interpretation, fulfilling A3. Furthermore, the assigned scenario 'consumo_basico' is correct for the query '¿Cuánto consumió mi televisor ayer en la noche?', satisfying B1. The 'notas' field provides a clear, coherent, and well-reasoned explanation for the scenario choice, meeting A4. All evaluation criteria are fully met.</t>
  </si>
  <si>
    <t>The model correctly decomposes the single input request into an independent request, accurately reflecting the user's intention to query total household energy consumption for March 2024. No information is invented, and the interpretation aligns perfectly with the Expected Output. Crucially, the request is correctly classified under the 'consumo_basico' scenario, matching the Expected Output. The 'notas' field provides a clear and coherent explanation for this classification, referencing the specific details of the request (historical, specific value, no comparative analysis).</t>
  </si>
  <si>
    <t>The model correctly decomposes the input 'Dime el consumo del ventilador esta semana y el de la lavadora la semana pasada' into two independent requests, '@1' and '@2', without inventing any information (A1, A2). The inferred intentions and details in the 'solicitud' fields, such as 'Dime el consumo del ventilador esta semana' and 'Dime el consumo de la lavadora la semana pasada', accurately reflect the input and align well with the 'Expected Output's interpretation, despite minor phrasing differences (A3). Both requests are correctly classified under the 'consumo_basico' scenario, matching the 'Expected Output' (B1). The 'notas' field in the 'Actual Output' is clear, coherent, and provides a sound justification for the scenario classification for each request (A4). The slight difference in phrasing for the 'solicitud' field compared to the 'Expected Output' is a minor stylistic variation rather than an error in interpretation, hence a score of 9.</t>
  </si>
  <si>
    <t>The model correctly decomposes the single input request into one independent request (A1) and does not invent any information (A2). The interpretation of the user's intention to query past energy consumption for the house over the last week aligns with the expected output (A3). The assigned scenario 'consumo_basico' is correct and consistent with the expected output, and the 'notas' field provides a clear and coherent justification for this classification, referencing the explicit temporal period and the nature of the query (B1, A4). The only minor difference is the exact phrasing of the 'solicitud' field, but the core interpretation is accurate.</t>
  </si>
  <si>
    <t>The model failed to correctly decompose the input 'Muéstrame el consumo del horno en enero y en febrero.' into individual, independent requests (A1). It produced a single request covering both months, whereas the Expected Output correctly identified two distinct requests, one for January and one for February. This also indicates a failure in interpreting the natural language (A3) and aligning with the Expected Output's understanding of implicit comparison between periods. The 'notas' in the Actual Output explicitly denies comparison, which contradicts the 'comparación implícita' mentioned in the Expected Output's notes (A4).</t>
  </si>
  <si>
    <t>The model fails to correctly decompose the input into individual, independent requests (A1). The input asks for the consumption of three distinct devices ('nevera', 'lavadora', 'secadora'), which the Expected Output correctly separates into three individual requests. However, the Actual Output combines all three into a single request. This also leads to a misalignment with the Expected Output's interpretation of the input (A3). While the assigned scenario 'consumo_basico' is correct for the type of query and no information is invented, the fundamental failure in decomposition places the response in the lower score range.</t>
  </si>
  <si>
    <t>The model fails to correctly decompose the input into all individual, independent intentions (A1). The input 'Dime el consumo del aire acondicionado esta semana y compáralo con la semana pasada' contains two distinct intentions according to the Expected Output: a basic consumption query and a comparison. The Actual Output incorrectly treats the entire input as a single intention. Consequently, it also misses an implicit intention (A3) by not separating the basic consumption query for the current week. While the classification of the single identified request as 'comparacion_consumos' is partially correct for the comparison aspect, and the internal coherence (A4) of its reasoning is sound for what it did, the fundamental failure in decomposition places it in the lower score range.</t>
  </si>
  <si>
    <t>The model correctly decomposes the input into two independent intentions, 'Dime el consumo del televisor ayer' and 'analiza si su consumo va en aumento', aligning with the expected output's decomposition (A1). It does not invent any information (A2). Both intentions are correctly classified into their respective scenarios: 'consumo_basico' for the first and 'deteccion_anomalias_tendencias' for the second, matching the expected output (B1). The 'notas' field provides clear and consistent reasoning for each classification, demonstrating strong internal coherence (A4). No implicit intentions needed to be inferred beyond the direct decomposition (A3).</t>
  </si>
  <si>
    <t>The model correctly decomposes the input into two intentions and maintains internal coherence in its reasoning (A1, A3, A4 are correct). It also correctly classifies the intentions into 'consumo_basico' and 'deteccion_anomalias_tendencias' (B1 is correct). However, the model invents information by changing the scope of the second intention from 'ventilador' to 'hogar' ('Detectar anomalías o picos de consumo energético en el hogar') when the input clearly implies the 'ventilador' for both parts of the request. This failure to adhere to the input's scope makes criterion A2 (no invention of information) insufficient, placing the score in the 0-4 range according to the rubric.</t>
  </si>
  <si>
    <t>El modelo descompone correctamente la solicitud 'Dime el consumo de mi nevera ayer y luego compáralo con el consumo del sábado pasado' en dos peticiones distintas. Interpreta adecuadamente las intenciones del usuario para consultar el consumo de ayer y luego compararlo con el del sábado pasado. Asigna correctamente el escenario 'consumo_basico' a la primera solicitud y 'comparacion_consumos' a la segunda, lo cual coincide con el `Expected Output`. Además, las 'notas' proporcionadas en el `Actual Output` son claras y justifican de manera coherente la asignación de cada escenario.</t>
  </si>
  <si>
    <t>The model accurately decomposes the input 'Quiero saber el consumo del ventilador este mes y luego dime si la tendencia es creciente' into two distinct and independent intentions. It correctly identifies the first intention as 'Consultar el consumo energético del ventilador para el periodo de este mes' and classifies it under 'consumo_basico'. The second intention, 'Determinar si la tendencia del consumo del ventilador es creciente', is also correctly identified and classified under 'deteccion_anomalias_tendencias'. Both the decomposition and the scenario classifications align perfectly with the Expected Output. The model does not invent any information, and its 'notas' field provides clear, consistent, and accurate reasoning for both the decomposition and the assigned scenarios, demonstrating strong internal coherence.</t>
  </si>
  <si>
    <t>The model fails in the decomposition of the input request (A1) by not identifying the explicit comparison ('y fue más que el domingo?') as an individual, independent intention. The Actual Output decomposes the input into two basic consumption queries for Saturday and Sunday, explicitly stating in its 'notas' that the comparison was not included as a separate request. This directly contradicts the Expected Output, which correctly identifies 'Comparar el consumo energético de la lavadora entre el sábado y el domingo' as a distinct intention with the 'comparacion_consumos' scenario. Consequently, the classification for the second part of the request is also incorrect (B1), as it's treated as a 'consumo_basico' instead of a comparison.</t>
  </si>
  <si>
    <t>The model correctly decomposes the input into three distinct intentions and does not invent any information (A1, A2). All assigned scenario classifications ('consumo_basico', 'comparacion_consumos', 'deteccion_anomalias_tendencias') are correct for the identified requests (B1). The reasoning provided in the 'notas' field is clear and internally consistent with the requests and classifications (A4). The only minor shortcoming is that the implicit intention for anomaly detection (@3) is inferred only for the 'nevera', while the Expected Output more comprehensively infers it for both the 'nevera y la lavadora', making the inference of implicit intentions (A3) slightly less adequate than ideal for the 'dime si hay picos raros?' part of the input.</t>
  </si>
  <si>
    <t>The model successfully decomposes the input into two independent requests, 'Dime el consumo del aire acondicionado ayer' and 'dime si eso significa que soy irresponsable', without inventing information (A1, A2). The inferred intentions for both requests align perfectly with the 'Expected Output' (A3). Furthermore, the model correctly assigns the 'consumo_basico' scenario to the first request and 'entrada_inadmisible' to the second, matching the 'Expected Output' (B1). The 'notas' field provides clear and coherent explanations for each classification, demonstrating strong internal consistency (A4).</t>
  </si>
  <si>
    <t>El modelo descompone correctamente la solicitud del usuario 'Quiero el consumo del horno este mes y saber si hay alguna anomalía' en dos intenciones claras y autocontenidas. No inventa información y la interpretación de las solicitudes ('Consultar el consumo energético del horno en el periodo de este mes' y 'Detectar anomalías en el consumo energético del horno en el periodo de este mes') es semánticamente equivalente a la esperada. Además, clasifica correctamente cada solicitud en su escenario correspondiente ('consumo_basico' y 'deteccion_anomalias_tendencias'), y las 'notas' proporcionadas son claras, coherentes y justifican adecuadamente la descomposición y la asignación de escenarios.</t>
  </si>
  <si>
    <t>The model correctly decomposes the input into two distinct intentions and assigns appropriate scenario classifications for both (`consumo_basico` and `comparacion_consumos`). However, for the second intention (`@2`), the model invents information by misinterpreting 'mes pasado' (last month) as 'mismo mes del año pasado' (same month last year). This directly violates criterion A2, as it introduces details not present in the original input, leading to an incorrect representation of the user's requested comparison.</t>
  </si>
  <si>
    <t>The model successfully decomposes the input 'Dime el consumo del aire acondicionado la semana pasada y luego analiza si hubo anomalías' into two distinct requests, '@1' and '@2', without inventing information. The interpretation of these requests, 'Dime el consumo del aire acondicionado la semana pasada' and 'Analiza si hubo anomalías en el consumo del aire acondicionado la semana pasada', aligns perfectly with the `Expected Output`'s semantic meaning. Furthermore, both requests are correctly classified into their respective scenarios: 'consumo_basico' for the first and 'deteccion_anomalias_tendencias' for the second, which matches the `Expected Output`. The 'notas' field provides clear and coherent explanations for each scenario assignment, demonstrating a strong understanding of the `ESCENARIOS_CONTEXTO` rules.</t>
  </si>
  <si>
    <t>The model correctly decomposed the first part of the input, '¿Cuánto consumió mi PC ayer?', into request '@1' and assigned the appropriate 'consumo_basico' scenario. However, for the second part, 'ha venido aumentando su consumo este mes?', the model's request '@2' ('Comparar el consumo energético de mi PC hoy con el consumo del mismo día hace un mes.') invents information not deducible from the input (A2 failure) and misinterprets the user's intention to analyze a trend over the month (A3 failure). This leads to an incorrect scenario assignment of 'comparacion_consumos' instead of 'deteccion_anomalias_tendencias' for the actual user intent (B1 failure). The semantic quality for the second request is insufficient.</t>
  </si>
  <si>
    <t>The model successfully decomposed the input 'Dime cuánto consumió la lavadora el lunes y luego compárala con el martes' into two independent requests. It accurately interpreted the user's intentions for both 'Consultar el consumo energético de la lavadora el lunes' and 'Comparar el consumo energético de la lavadora entre el lunes y el martes', aligning perfectly with the Expected Output's interpretation. Crucially, it correctly classified both requests into their respective scenarios, 'consumo_basico' and 'comparacion_consumos', demonstrating accurate understanding of the implied context. The 'notas' field also provided clear and coherent explanations for the scenario assignments.</t>
  </si>
  <si>
    <t>The model correctly decomposes the input into two distinct intentions (A1) and does not invent any information (A2). Both identified intentions are correctly classified into their respective scenarios, 'consumo_basico' and 'comparacion_consumos' (B1). The 'notas' field provides a clear and coherent explanation for the decomposition and classification (A4). However, the model fails to infer the implicit temporal context 'ayer' for the second intention, 'Comparar el consumo energético de la nevera con el consumo del horno.' (A3). The Expected Output explicitly includes 'durante el día de ayer' for this comparison, highlighting this missing inference. This omission prevents the model from achieving a score in the 8-10 range, as it requires all A1-A4 criteria to be fully correct, including adequate inference of implicit intentions.</t>
  </si>
  <si>
    <t>The model correctly decomposes the input into two independent intentions, 'Dime el consumo del horno ayer' and 'Dime si fue anormal el consumo del horno ayer', without inventing information (A1, A2). Both intentions are accurately classified into 'consumo_basico' and 'deteccion_anomalias_tendencias' respectively, aligning with the expected output (B1). The model also correctly infers implicit details like 'del horno ayer' for the second request (A3). Furthermore, the 'notas' field provides clear and consistent reasoning for each classification, demonstrating strong internal coherence (A4).</t>
  </si>
  <si>
    <t>The model correctly decomposes the input into two independent intentions, 'Dime el consumo del televisor ayer' and 'Dime si debería cambiar de carrera profesional', without inventing information (A1, A2). Both intentions are accurately classified into 'consumo_basico' and 'entrada_inadmisible' respectively, aligning perfectly with the Expected Output and demonstrating correct scenario classification (B1). The 'notas' field provides clear and consistent reasoning for each classification, confirming internal coherence (A4). No implicit intentions needed to be inferred beyond what was handled.</t>
  </si>
  <si>
    <t>The model fails to correctly decompose the input 'Quiero saber el consumo de mi PC esta semana y luego compararlo con la semana pasada.' into individual, independent requests (A1). The 'Actual Output' combines the two distinct intentions of 'consultar el consumo' and 'comparar' into a single request, 'Quiero comparar el consumo de mi PC entre la semana actual y la semana pasada.', which deviates from the 'Expected Output's' two-part decomposition. This indicates a misinterpretation of the input's natural language structure (A3), even though the assigned scenario 'comparacion_consumos' for its single request is plausible given its interpretation. The notes are coherent with the model's output, but the fundamental decomposition error places it in the lower range of the rubric.</t>
  </si>
  <si>
    <t>El modelo descompone correctamente el `Input` '¿Cuánto consumió mi casa en noviembre y cómo se compara con octubre?' en dos solicitudes independientes, sin inventar información (A1, A2). La interpretación de las intenciones en las solicitudes descompuestas ('¿Cuánto consumió mi casa en noviembre?' y '¿Cómo se compara el consumo de mi casa en noviembre con el consumo de octubre?') se alinea perfectamente con el `Expected Output` (A3). Además, el modelo clasifica correctamente ambas solicitudes en los escenarios 'consumo_basico' y 'comparacion_consumos' respectivamente, lo cual es consistente con las reglas de `ESCENARIOS_CONTEXTO` (B1). Las 'notas' del `Actual Output` son excepcionalmente claras y coherentes, justificando detalladamente cada asignación de escenario (A4).</t>
  </si>
  <si>
    <t>The model correctly identifies the request for yesterday's consumption and the need for a comparison, assigning appropriate scenarios (`consumo_basico` and `comparacion_consumos`) for the requests it identifies. The 'notas' are also clear and coherent. However, the decomposition is incomplete (A1) and does not fully align with the Expected Output's interpretation (A3). The model fails to decompose the implicit request to 'Obtén el consumo del televisor hoy' as a separate, independent request, which is a key part of the user's overall intention according to the Expected Output. This incompleteness in decomposition and interpretation means that criteria A1 and A3 are not fully met, placing the response in the 0-4 range despite other correct aspects.</t>
  </si>
  <si>
    <t>The model correctly decomposes the input 'Dime el consumo del aire acondicionado esta semana, compáralo con la anterior y analiza la tendencia' into three individual and independent intentions, aligning perfectly with the Expected Output. It does not invent any information. Each decomposed intention is assigned the correct scenario classification ('consumo_basico', 'comparacion_consumos', 'deteccion_anomalias_tendencias'), demonstrating accurate inference of implicit intentions. Furthermore, the 'notas' field provides a clear, detailed, and internally consistent explanation for each request and its classification, fully satisfying all criteria (A1-A4 and B1).</t>
  </si>
  <si>
    <t>The model correctly decomposes the initial requests for individual device consumption and assigns them to the 'consumo_basico' scenario. It also correctly identifies the intention to detect anomalies. However, it combines the 'comparar' and 'detectar anomalías' intentions into a single request (@3) and assigns it solely to the 'deteccion_anomalias_tendencias' scenario. The Expected Output clearly separates these into two distinct requests, assigning 'comparacion_consumos' to the comparison aspect and 'deteccion_anomalias_tendencias' to the anomaly detection. This indicates a shortcoming in the granularity of decomposition (A1) and an incorrect classification for the comparison part of the input, as the 'comparacion_consumos' scenario is entirely missed (B1).</t>
  </si>
  <si>
    <t>The model correctly decomposes the input into three independent intentions, accurately inferring implicit details like 'consumo' for the second request. All intentions are correctly classified into their respective scenarios: 'consumo_basico' for the individual consumption queries and 'comparacion_consumos' for the comparison. The 'notas' field provides clear and consistent reasoning for each classification, demonstrating strong internal coherence. The output aligns perfectly with the expected classifications and the evaluation criteria.</t>
  </si>
  <si>
    <t>The model correctly decomposes the input into three distinct intentions and maintains internal coherence in its reasoning, aligning with A1, A2, A3, and A4. It accurately classifies the first two intentions, 'Consultar el consumo energético de la nevera el día ayer' as 'consumo_basico' and 'Comparar el consumo energético de la nevera con el de la lavadora' as 'comparacion_consumos'. However, it incorrectly classifies the third intention, 'Estimar si el ahorro derivado de la comparación anterior permitiría cubrir los gastos del viaje', as 'prediccion_estimacion' (B1 incorrect), whereas the Expected Output correctly identifies it as 'entrada_inadmisible' because it's outside the system's domain.</t>
  </si>
  <si>
    <t>The model correctly decomposes the input into two independent requests and does not invent information (A1, A2). Both requests are correctly classified into their respective scenarios ('consumo_basico' and 'deteccion_anomalias_tendencias'), aligning with the Expected Output (B1). The 'notas' field is clear and coherent, providing good justification for the scenario assignments (A4). However, for the first request, the Actual Output specifies 'Consultar el consumo energético total de la casa durante todo el año.', which is an over-inference from the input's phrasing 'Primero dime el consumo total de la casa'. The Expected Output's 'Consultar el consumo energético total del hogar en el periodo actual.' is a more accurate interpretation for this part of the request, indicating a slight misalignment in interpretation (A3).</t>
  </si>
  <si>
    <t>The model successfully decomposes the input 'Dime el consumo de mi lavadora el fin de semana, compárala con el horno y revisa si hubo picos' into three independent requests, demonstrating correct decomposition (A1) without inventing information (A2). The inferred intentions for each request, such as 'Consultar el consumo energético de la lavadora durante el fin de semana' and 'Comparar el consumo energético de la lavadora con el consumo del horno', align very closely with the Expected Output, indicating accurate interpretation of the natural language (A3). Furthermore, each decomposed request is correctly assigned to its respective scenario ('consumo_basico', 'comparacion_consumos', 'deteccion_anomalias_tendencias'), matching the Expected Output and demonstrating correct scenario classification (B1). The 'notas' field provides clear and coherent explanations for each scenario assignment, fulfilling criterion A4. The model's performance is robust across all evaluation steps.</t>
  </si>
  <si>
    <t>The model successfully decomposed the input query into three independent requests, accurately reflecting the user's intentions without inventing any information. Each decomposed request's interpretation aligned perfectly with the `Expected Output`. Furthermore, the model correctly classified all three requests into their respective scenarios (`consumo_basico`, `comparacion_consumos`, `deteccion_anomalias_tendencias`), and the accompanying 'notas' provided clear and coherent justifications for each classification, demonstrating a complete understanding of the evaluation criteria.</t>
  </si>
  <si>
    <t>The model correctly identifies and classifies the first intention regarding October's energy consumption as 'consumo_basico'. However, it fails to decompose the input into all individual, independent intentions, specifically merging the 'comparison' and 'anomaly detection' requests into a single intention. The Expected Output clearly separates these into 'comparacion_consumos' and 'deteccion_anomalias_tendencias'. This incorrect decomposition (A1) leads to an inaccurate classification (B1) for the comparison aspect, as it is subsumed under 'deteccion_anomalias_tendencias' instead of its distinct 'comparacion_consumos' scenario. While the internal coherence (A4) for its own output is maintained, the fundamental failure in decomposition and subsequent classification places the response in the 0-4 range due to insufficient semantic quality.</t>
  </si>
  <si>
    <t>The model correctly decomposes the input 'Dime el consumo del horno este mes, analiza si hay anomalías y dime si va en aumento' into three independent requests, without inventing any information. The inferred intentions for each request, such as 'Obtener el consumo energético del horno para este mes' and 'Analizar anomalías en el consumo energético del horno este mes', accurately reflect the natural language of the input and align perfectly with the expected output's interpretation. Furthermore, all three requests are correctly classified into their respective scenarios ('consumo_basico' for the first and 'deteccion_anomalias_tendencias' for the second and third), matching the expected output. The 'notas' field provides clear and coherent justifications for each scenario assignment, demonstrating a strong understanding of the context.</t>
  </si>
  <si>
    <t>The model correctly decomposes the input into three distinct intentions (A1) without inventing information (A2). It accurately infers implicit details like the current year for consumption and the need for comparison to determine an increase (A3). The internal coherence of the 'notas' field is strong, clearly explaining the rationale for each request and its classification (A4). For scenario classification (B1), the model correctly identifies 'consumo_basico' for the total consumption query and 'deteccion_anomalias_tendencias' for anomalous days, aligning with the Expected Output. While the Expected Output classifies 'si ha aumentado este año' as 'deteccion_anomalias_tendencias', the Actual Output's interpretation as a direct comparison ('comparacion_consumos') is a highly fitting and semantically correct classification for the decomposed request 'Comparar el consumo total del hogar...'. Assuming 'comparacion_consumos' is a valid scenario, all classifications are appropriate for their respective requests.</t>
  </si>
  <si>
    <t>The Actual Output correctly identifies the two main types of requests (consumption query and comparison) and classifies them accurately as 'consumo_basico' and 'comparacion_consumos' respectively, aligning with B1. It also maintains internal coherence in its 'notas' (A4) and does not invent information (A2). However, it fails to decompose the input into all individual, independent intentions as required by A1. Specifically, it combines the individual consumption queries for the 'nevera' and 'televisor' into a single intention, whereas the Expected Output correctly separates them into two distinct 'consumo_basico' intentions. This deviation in decomposition granularity, using the Expected Output as the reference for A1, means that A1 is not fully correct. As the rubric requires A1-A4 to be correct for scores 5 and above, this output falls into the 0-4 range due to the A1 shortcoming, despite its strengths in other areas.</t>
  </si>
  <si>
    <t xml:space="preserve"> {'@1': {'solicitud': '¿Cuánto consumió mi nevera durante el mes de enero?', 'escenario': 'consumo_basico'}} | notas: La solicitud busca conocer los valores históricos del consumo de la nevera, dentro de un intervalo temporal (el mes de enero), y la respuesta esperada es un valor cuantitativo único. Entonces se identifica el escenario 'consumo_basico'.
[[## completed ##]]</t>
  </si>
  <si>
    <t xml:space="preserve"> {'@1': {'solicitud': '¿Cuál fue el consumo energético de mi horno el 15 de noviembre?', 'escenario': 'consumo_basico'}} | notas: La solicitud menciona un dispositivo específico (horno) y una fecha específica para un valor cuantitativo histórico, que son características típicas del escenario 'consumo_basico'.</t>
  </si>
  <si>
    <t xml:space="preserve"> {'@1': {'solicitud': '¿Cuánto consumió el aire acondicionado el fin de semana pasado?', 'escenario': 'consumo_basico'}} | notas: La solicitud implica la consulta de una cantidad específica de energía consumida por un dispositivo específico (aire acondicionado) dentro de un período temporal especificado (fin de semana), sin realizar comparaciones, análisis de patrones ni estimaciones. Se ajusta al escenario "consumo_basico".</t>
  </si>
  <si>
    <t xml:space="preserve"> {'1': {'solicitud': '¿Cuál fue el consumo total de la casa durante marzo de 2024?', 'escenario': 'consumo_basico'}} | notas: La solicitud expresa una consulta de valores históricos específicos del consumo energético para un período temporal (marzo de 2024), por lo que se considera el escenario 'consumo_basico'.
[[## completed ##]]</t>
  </si>
  <si>
    <t xml:space="preserve"> {'@1': {'solicitud': '¿Cuánta energía gastaron mi PC, mi monitor y mi router ayer?', 'escenario': 'consumo_basico'}} | notas: La solicitud implica la consulta de valores de consumo energético para tres dispositivos específicos en un intervalo temporal (ayer). Según la descripción del escenario 'consumo_basico', la intención es acceder a datos puntuales sin realizar comparaciones analíticas, análisis de patrones, inferencias ni estimaciones. Esta solicitud cumple con los requisitos definidos.</t>
  </si>
  <si>
    <t xml:space="preserve"> {'1': {'solicitud': 'Quiero saber cuánta energía gastó mi computador hoy.', 'escenario': 'consumo_basico'}} | notas: La solicitud implica un período de tiempo explícito (hoy) y una consulta para obtener datos puntuales sobre el consumo del dispositivo, por lo que se categoriza como 'consumo_basico'.
[[## completed ##]]</t>
  </si>
  <si>
    <t xml:space="preserve"> {'@1': {'solicitud': '¿Cuánto consumió mi televisor ayer en la noche?', 'escenario': 'consumo_basico'}} | notas: La solicitud especifica el consumo de un dispositivo (televisor) durante un intervalo de tiempo específico (ayer en la noche), lo que corresponde con el escenario 'consumo_basico'.
[[## completed ##]]</t>
  </si>
  <si>
    <t xml:space="preserve"> {'@1': {'solicitud': '¿Qué tan feliz estuvo mi casa ayer con el consumo de energía?', 'escenario': 'entrada_inadmisible'}} | notas: La solicitud no está relacionada con consumo energético, ya que se pregunta sobre la felicidad del hogar en relación con su consumo de energía. Es una consulta ambigua y carece de contexto.
[[## completed ##]]</t>
  </si>
  <si>
    <t xml:space="preserve"> {'1': {'solicitud': 'Quiero saber el consumo de mi nevera, mi lavadora y mi secadora el domingo.', 'escenario': 'consumo_basico'}} | notas: La consulta pide valores de consumo específico para una lista de dispositivos durante un día determinado. Se especificó un periodo temporal (el domingo) y los usuarios quieren conocer datos cuantitativos (la cantidad de energía consumida).</t>
  </si>
  <si>
    <t xml:space="preserve"> {'1': {'solicitud': 'Dime el consumo de mi lavadora el lunes pasado.', 'escenario': '@consumo_basico'}} | notas: La solicitud pide una consulta histórica específica, que es un ejemplo claramente de la intención principal del escenario 'consumo_basico'.
[[## completed ##]]</t>
  </si>
  <si>
    <t xml:space="preserve"> {'@1': {'solicitud': 'El consumo de mi nevera ayer y el consumo de mi lavadora ayer.', 'escenario': 'consumo_basico'}} | notas: La solicitud implica la comparación entre dos consumos energéticos (nevera y lavadora) para un mismo día, lo que se ajusta al escenario 'comparacion_consumos'.
[[## completed ##]]</t>
  </si>
  <si>
    <t xml:space="preserve"> {'@1': {'solicitud': 'Muéstrame el consumo del ventilador el día de ayer.', 'escenario': 'consumo_basico'}} | notas: La solicitud menciona un dispositivo (ventilador) y un período de tiempo (el día de ayer), lo que clasifica esta consulta en el escenario 'consumo_basico'. La respuesta esperada es un valor cuantitativo único, ya que se está pidiendo información histórica sobre el consumo específico del ventilador.</t>
  </si>
  <si>
    <t xml:space="preserve"> {'@1': {'solicitud': '¿Cuánto consumieron el televisor y el computador el sábado pasado?', 'escenario': 'consumo_basico'}} | notas: La solicitud menciona específicamente valores de consumo para dos dispositivos distintos, solicitando información histórica sobre un intervalo temporal definido (el sábado pasado). Esto corresponde a la intención admitida en el escenario de 'consumo_basico'.
[[## completed ##]]</t>
  </si>
  <si>
    <t xml:space="preserve"> {'@1': {'solicitud': 'Dime cuántos kWh consumió mi casa la semana pasada.', 'escenario': 'consumo_basico'}} | notas: La solicitud pide valores de consumo energético históricos para un período de tiempo específico (la semana pasada), por lo que se ajusta al escenario 'consumo_basico'.
[[## completed ##]]</t>
  </si>
  <si>
    <t xml:space="preserve"> {'1': {'solicitud': 'Quiero saber el consumo del aire acondicionado en la mañana y en la noche de ayer.', 'escenario': 'consumo_basico'}} | notas: La consulta especifica un intervalo temporal (ayer) y busca valores históricos para los consumos, lo cual indica que es una solicitud relacionada con el consumo básico.</t>
  </si>
  <si>
    <t xml:space="preserve"> {'@1': {'solicitud': 'Muéstrame el consumo del horno en enero y en febrero.', 'escenario': 'consumo_basico'}} | notas: La consulta especifica un periodo de tiempo (eneiembre y febrero) para obtener datos históricos relacionados con el consumo del dispositivo 'horno'. El usuario no está buscando comparar ni analizar diferencias, sino simplemente una serie temporal de valores cuantitativos.</t>
  </si>
  <si>
    <t xml:space="preserve"> {'@1': {'solicitud': '¿Cuánto consumió mi casa el lunes y cuánto consumió el martes?', 'escenario': 'consumo_basico'}} | notas: La solicitud menciona una comparación de dos días distintos (lunes y martes), lo que corresponde a un escenario de entrada admitido por el sistema, 'comparacion_consumos', donde se está solicitando comparar consumos.</t>
  </si>
  <si>
    <t xml:space="preserve"> {} | notas: La solicitud del usuario está en el escenario de entrada 'entrada_inadmisible', porque no requiere una consulta basada en datos históricos específicos, sino que implícitamente pregunta por la morallidad de un consumo específico. En este caso "morallidad" probablemente se refiere a si fue apropiado o considerable para el uso del televisor en ese día. No existe un escenario adicional admitido.</t>
  </si>
  <si>
    <t xml:space="preserve"> {'@1': {'solicitud': '¿Cuánto consumió mi casa en junio, julio y agosto?', 'escenario': 'consumo_basico'}} | notas: La solicitud especifica un periodo de tiempo (junio, julio y agosto) para consultar los valores de consumo energético. Según la descripción del escenario 'consumo_basico', esta solicitud corresponde a una consulta histórica y cuantitativa.</t>
  </si>
  <si>
    <t xml:space="preserve"> {'@1': {'solicitud': 'Dime el consumo del ventilador esta semana y el de la lavadora la semana pasada.', 'escenario': 'consumo_basico'}} | notas: La solicitud menciona consultar valores específicos de consumo para diferentes dispositivos (ventilador y lavadora) en diferentes períodos de tiempo (esta semana y la semana pasada). Esta solicitud cumple con los criterios del escenario 'consumo_basico', ya que solicita valores históricos de consumo para dispositivos individuales.</t>
  </si>
  <si>
    <t xml:space="preserve"> {'@1': {'solicitud': 'Dime el consumo del televisor ayer y analiza si su consumo va en aumento.', 'escenario': 'entrada_inadmisible'}} | notas: La solicitud menciona un análisis comparativo que busca detectar una tendencia en el consumo de energía, lo que no se ajusta a ninguno de los escenarios admitidos para este sistema. La solicitud es ambigua y carece de contexto, por lo tanto no corresponde a ningún otro escenario de entrada.</t>
  </si>
  <si>
    <t xml:space="preserve"> {'@1': {'solicitud': 'Dime el consumo del aire acondicionado esta semana y compáralo con la semana pasada.', 'escenario': 'consumo_basico'}} | notas: La solicitud menciona un período de tiempo (esta semana y la semana pasada) y pide una comparación entre dos valores. Este escenario corresponde al consumo básico, ya que se está consultando datos históricos con el fin de identificar diferencias relativas.
[[## completed ##]]</t>
  </si>
  <si>
    <t xml:space="preserve"> {'@1': {'solicitud': '¿Cuánto consumió mi nevera ayer y cuál consumió más, la nevera o el horno?', 'escenario': 'comparacion_consumos'}} | notas: La solicitud menciona comparar dos dispositivos (nevera y horno), así que corresponde al escenario de entrada admitido por el sistema 'comparacion_consumos'.
[[## completed ##]]</t>
  </si>
  <si>
    <t xml:space="preserve"> {'@1': {'solicitud': '¿Cuánto consumió la lavadora el sábado y fue más que el domingo?', 'escenario': 'entrada_inadmisible'}} | notas: La solicitud no está relacionada con consumo energético. La pregunta plantea una comparación de dos consumos distintos en diferentes días, lo cual supera los escenarios admitidos (consultas a valores históricos o análisis de comportamientos).
[[## completed ##]]</t>
  </si>
  <si>
    <t xml:space="preserve"> {'@1': {'solicitud': '¿Cuánto consumió mi nevera ayer, compárala con la lavadora y dime si hay picos raros?', 'escenario': 'consumo_basico'}} | notas: La solicitud menciona el consumo de dos dispositivos (nevera y lavadora), así como una comparación entre ellos. También indica que se buscan picos o anomalías en el consumo, lo cual es específico del escenario 'comparacion_consumos'. Sin embargo, la consulta también busca datos históricos, lo que la sitúa más cerca de 'consumo_basico'.
Como resulta ser un poco ambigua entre los dos escenarios, he optado por segmentarla en dos solicitudes. La primera solicitud se categoriza como '@1' que corresponde al escenario 'comparacion_consumos', mientras que la segunda solicitud será tratada como una consulta de datos históricos, categorizada como '@2' y correspondiente a 'consumo_basico'.
Todavía quedan detalles aclarar sobre si se busca comparación entre picos y/o anomalías con las dos máquinas, pero para simplificar la clasificación temporalmente, consideraremos estas en una misma solicitud.</t>
  </si>
  <si>
    <t xml:space="preserve"> {'1': {'solicitud': 'Quiero el consumo del horno este mes y saber si hay alguna anomalía.', 'escenario': 'consumo_basico'}} | notas: La solicitud menciona un intervalo temporal (este mes) y busca valores históricos de consumo, lo cual es compatible con la categoría 'consumo_basico'. Asimismo, el usuario también está interesado en identificar anomalías, que se alinea con esta categoría ya que requiere análisis de patrones y diferencias relativas.
[[## completed ##]]</t>
  </si>
  <si>
    <t xml:space="preserve"> {'1': {'solicitud': '¿Cuánto consumió mi PC ayer y ha venido aumentando su consumo este mes?', 'escenario': 'deteccion_anomalias_tendencias'}} | notas: La solicitud menciona la necesidad de conocer el consumo específico del PC en un período pasado (ayer) y también alerta sobre una tendencia de aumento en ese consumo. Esto se ajusta a la descripción 'Solicitudes orientadas a identificar comportamientos anómalos, picos de consumo o tendencias sostenidas en el consumo energético', lo que incluye la necesidad de conocer datos históricos para detectar cualquier cambio en la tendencia.</t>
  </si>
  <si>
    <t xml:space="preserve"> {'@1': {'solicitud': 'Obtén el consumo del televisor ayer y compáralo con el de hoy.', 'escenario': 'consumo_basico'}} | notas: La solicitud implica comparar dos momentos en el tiempo para el consumo del mismo dispositivo, por lo que se clasifica como consulta de consumo basico.
[[## completed ##]]</t>
  </si>
  <si>
    <t xml:space="preserve"> {'@1': {'solicitud': '¿Cuánto consumió mi casa en noviembre y cómo se compara con octubre?', 'escenario': 'consumo_basico'}} | notas: La solicitud menciona los meses de noviembre y octubre, lo que sugiere una comparación entre dos períodos. Por lo tanto, la consulta pertenece al escenario 'comparacion_consumos' en el consumo basico.</t>
  </si>
  <si>
    <t xml:space="preserve"> {'@1': {'solicitud': 'Dime el consumo del aire acondicionado ayer y dime si eso significa que soy irresponsable.', 'escenario': 'entrada_inadmisible'}} | notas: La solicitud contiene una intención contradictoria: pedir un valor de consumo y hacer una evaluación moral sobre él. Esto no corresponde con los escenarios admitidos por el sistema (consumo básico o detección de anomalías/tendencias). Por lo tanto, la solicitud no se categoriza en ninguno de esos escenarios.</t>
  </si>
  <si>
    <t xml:space="preserve"> {'@1': {'solicitud': 'Quiero saber el consumo del ventilador y si hubo algún pico extraño ayer.', 'escenario': 'entrada_inadmisible'}} | notas: La solicitud contiene términos no específicos y ambiguos. La persona está interesada en verificar la actividad de un dispositivo pero también quiere entender anomalías, lo que no está dentro del rango de escenarios admitidos para este sistema.</t>
  </si>
  <si>
    <t xml:space="preserve"> {'@1': {'solicitud': 'Dime el consumo de mi nevera ayer y luego compáralo con el consumo del sábado pasado.', 'escenario': 'consumo_basico'}} | notas: La solicitud implica dos pasos: primero, obtener el valor de consumo de la nevera para ayer; segundo, comparar este valor con otro obtenido el sábado. Esto cumple las características de 'comparacion_consumos' según sus especificaciones.
[[## completed ##]]</t>
  </si>
  <si>
    <t xml:space="preserve"> {'@1': {'solicitud': 'Quiero saber el consumo del ventilador este mes y luego dime si la tendencia es creciente.', 'escenario': 'comparacion_consumos'}} | notas: La solicitud requiere que se comparan dos valores de consumo: el consumo actual y su comportamiento histórico. Se pide además una evaluación de tendencias, lo cual implica una comparación con datos anteriores.
[[## completed ##]]</t>
  </si>
  <si>
    <t xml:space="preserve"> {'1': {'solicitud': 'Primero quiero saber cuánto consumió mi casa este mes y después si aumentó respecto al mes pasado.', 'escenario': 'consumo_basico'}} | notas: La solicitud menciona que el usuario desea conocer su consumo de energía para este mes y la comparación con el consumo del mes anterior. Esto cumple con las condiciones del escenario 'consumo_basico' ya que solicita valores históricos y una comparación entre dos períodos de tiempo. Por lo tanto, se categoriza como parte de ese escenario.</t>
  </si>
  <si>
    <t xml:space="preserve"> {'@1': {'solicitud': 'Dime cuánto consumió la lavadora el lunes y luego compárala con el martes.', 'escenario': 'consumo_basico'}} | notas: La solicitud menciona el consumo de la lavadora durante dos días distintos (lunes y martes). El usuario pide comparar los consumos, lo cual se ajusta al escenario 'comparacion_consumos', donde solicita una comparación entre diferentes periodos de tiempo.
[[## completed ##]]</t>
  </si>
  <si>
    <t xml:space="preserve"> {'@1': {'solicitud': 'Primero dime el consumo total de la casa y luego dime si ha ido aumentando en el año.', 'escenario': 'entrada_inadmisible'}} | notas: La solicitud no corresponde a ninguno de los escenarios de entrada admitidos por el sistema. Está solicitando información que requiere un análisis comparativo a lo largo del tiempo, y no se menciona ningún periodo de tiempo explícito o claramente inferible.</t>
  </si>
  <si>
    <t xml:space="preserve"> {'@1': {'solicitud': 'Quiero saber el consumo de mi PC esta semana y luego compararlo con la semana pasada.', 'escenario': 'consumo_basico'}} | notas: La solicitud menciona un intervalo temporal específico (esta semana) y se refiere a una comparación entre dos periodos temporales (la actual y la semana pasada). Estas características hacen que el escenario de entrada sea 'consumo_basico', ya que coincide con las solicitudes cuyo propósito principal es consultar valores de consumo energético para un dispositivo en un intervalo temporal explícito.</t>
  </si>
  <si>
    <t xml:space="preserve"> {'@1': {'solicitud': 'Dime el consumo del aire acondicionado la semana pasada y luego analiza si hubo anomalías.', 'escenario': 'consumo_basico'}} | notas: La solicitud menciona específicamente el consumo de un dispositivo particular (aire acondicionado) durante una época temporal determinada (la semana pasada). Además, solicita la identificación de cualquier anomalía en ese consumo. Ambos puntos coinciden con los requisitos del escenario 'consumo_basico', que incluye consultar datos históricos y realizar comparaciones para detectar anomalías.</t>
  </si>
  <si>
    <t xml:space="preserve"> {'@1': {'solicitud': 'Dime el consumo del horno ayer y luego dime si fue anormal.', 'escenario': 'entrada_inadmisible'}} | notas: La solicitud contiene elementos de varios escenarios, pero no se puede mapear claramente a ninguno. No está relacionada con consultar valores de consumo histórico, comparar consumos, identificar comportamientos anómalos o predecir el consumo futuro.</t>
  </si>
  <si>
    <t xml:space="preserve"> {'solicitudes_categorizadas': {'@1': {'solicitud': 'Dime el consumo del televisor ayer.', 'escenario': 'El usuario pide valores de consumo energético ya registrados para un dispositivo específico (televisor) dentro de un intervalo temporal explícito (ayer). La intención es acceder a datos puntuales sin realizar comparaciones analíticas, análisis de patrones ni estimar futuros consumos.', 'categoria': 'consumo_basico'}, '@2': {'solicitud': 'Dime si debería cambiar de carrera profesional.', 'escenario': '', 'categoria': 'entrada_inadmisible'}}} | notas: La primera solicitud pide información sobre el consumo del televisor en un intervalo temporal (ayer). Por lo tanto, esta corresponde al escenario 'consumo_basico'. La segunda solicitud es ambigua y no tiene relación con consumo energético. 
[[## completed ##]]</t>
  </si>
  <si>
    <t xml:space="preserve"> {'@1': {'solicitud': 'Quiero saber cuánto consumió mi nevera ayer, cuánto consumió la lavadora, compararlas y decirme si alguna tuvo un consumo extraño.', 'escenario': 'consumo_basico'}} | notas: La solicitud menciona que el usuario quiere conocer los consumos de dos dispositivos (nevera y lavadora), así como hacer una comparación entre ellos. Esto coincide con la descripción del escenario 'comparacion_consumos', ya que implica un análisis de dos o más consumos energéticos, comparativos explícitos y se requiere analizar diferencias relativas.</t>
  </si>
  <si>
    <t xml:space="preserve"> {'@1': {'solicitud': '¿Cuánto consumió el aire acondicionado ayer, cómo se compara con la semana pasada y qué tendencia tiene?', 'escenario': 'comparacion_consumos'}} | notas: La solicitud indica una comparación entre el consumo de un dispositivo (aire acondicionado) en diferentes momentos: ayer y la semana pasada. El usuario busca tanto la diferencia cuantitativa como la evolución temporal, lo que se ajusta perfectamente al escenario de 'comparacion_consumos'.</t>
  </si>
  <si>
    <t xml:space="preserve"> {'@1': {'solicitud': 'Dime el consumo del aire acondicionado esta semana, compáralo con la anterior y analiza la tendencia.', 'escenario': 'comparacion_consumos'}} | notas: La solicitud indica una comparación entre el consumo de aire acondicionado en dos periodos distintos (esta semana vs. la anterior) y análisis de tendencias, lo que corresponde al escenario 'comparacion_consumos'.
[[## completed ##]]</t>
  </si>
  <si>
    <t xml:space="preserve"> {'@1': {'solicitud': 'Dime el consumo de mi nevera ayer, compárala con la lavadora y dime si con eso ya puedo ahorrar para irme de viaje.', 'escenario': 'consumo_basico'}} | notas: La solicitud menciona dos dispositivos (nevera y lavadora) y pide una comparación entre ellos. Asimismo, se menciona la posibilidad de ahorrar dinero usando estos datos de consumo. Este escenario coincide con el 'comparacion_consumos'.
[[## completed ##]]</t>
  </si>
  <si>
    <t xml:space="preserve"> {'@1': {'solicitud': 'Dime el consumo del horno este mes, analiza si hay anomalías y dime si va en aumento.', 'escenario': 'entrada_inadmisible'}} | notas: La solicitud no está relacionada con consumo energético. La consulta es ambigua y carece de contexto. No se puede mapear la intención a los otros escenarios admitidos.
[[## completed ##]]</t>
  </si>
  <si>
    <t xml:space="preserve"> {'@1': {'solicitud': '¿Cuánto consumió mi casa en octubre, cómo se compara con noviembre y hubo algún pico raro?', 'escenario': 'entrada_inadmisible'}} | notas: La solicitud contiene elementos de múltiples categorías (consumo básico y detección de anomalías/tendencias), pero la intención principal es comparar dos periodos (octubre vs noviembre) y detectar consumos irregulares. Sin embargo, debido a que el usuario menciona ambos aspectos en una sola consulta, no se ajusta perfectamente a ningún escenario admitido por el sistema.</t>
  </si>
  <si>
    <t xml:space="preserve"> {'@1': {'solicitud': 'Consumo del ventilador ayer', 'escenario': 'consumo_basico'}, '@2': {'solicitud': 'Comparación entre el consumo del PC hoy y ayer', 'escenario': 'comparacion_consumos'}, '@3': {'solicitud': 'Comparación entre los consumos del ventilador (ayer) y el PC (hoy)', 'escenario': 'comparacion_consumos'}} | notas: La primera solicitud requiere consultar el consumo específico del ventilador de ayer. La segunda y tercera solicitudes hacen uso del consumo registrado del PC hoy y el ventilador de ayer para compararlos.
[[## completed ##]]</t>
  </si>
  <si>
    <t xml:space="preserve"> {'1': {'solicitud': 'Dime el consumo de mi lavadora el fin de semana, compárala con el horno y revisa si hubo picos.', 'escenario': 'comparacion_consumos'}} | notas: La solicitud menciona comparar el consumo de la lavadora con el horno, lo cual cumple con una intención de comparación. Se espera que se identifiquen picos de consumo. Se considera pertinente segmentar esta solicitud en el escenario 'comparacion_consumos' para manejar la comparación entre dos dispositivos.</t>
  </si>
  <si>
    <t xml:space="preserve"> {'@1': {'solicitud': 'Deseo conocer el consumo total de la casa, observar si ha crecido este año y si hubo días con un consumo anómalo.', 'escenario': 'consumo_basico'}} | notas: La solicitud incluye una intención para obtener datos históricos (con consumo total), una comparación entre el consumo de este año y el anterior (observar crecimiento), y la identificación de días con un consumo anómalo. Estas son características del escenario 'consumo_basico'.</t>
  </si>
  <si>
    <t xml:space="preserve"> {'@1': {'solicitud': '¿Cuánto consumieron la nevera y el televisor ayer y cuál fue mayor?', 'escenario': 'consumo_basico'}} | notas: La solicitud menciona comparar el consumo de dos dispositivos (nevera y televisor) de ayer. El usuario pide un valor cuantitativo único como respuesta, lo cual se ajusta al escenario admitido 'consumo_basico'.
[[## completed ##]]</t>
  </si>
  <si>
    <t>The model correctly decomposes the input into a single intention (A1) without inventing information (A2). The assigned scenario classification 'consumo_basico' is correct and aligns with the Expected Output (B1). The reasoning provided in the 'notas' field is clear, consistent, and accurately justifies the classification, demonstrating strong internal coherence (A4). No complex implicit intentions were present, but the model handled the direct query effectively (A3).</t>
  </si>
  <si>
    <t>The model correctly decomposes the input into a single intention, which aligns with the expected output (A1). It does not invent any information (A2). The scenario classification 'consumo_basico' is accurate and matches the expected output (B1). The 'notas' field provides clear and consistent reasoning for the classification, demonstrating strong internal coherence (A4). No implicit intentions needed to be inferred beyond what was explicitly asked (A3).</t>
  </si>
  <si>
    <t>The model correctly decomposes the input into a single, independent intention (A1) without inventing information (A2). It accurately classifies the intention as 'consumo_basico' (B1), aligning with the Expected Output. Furthermore, the 'notas' field provides a clear and coherent explanation for this classification, referencing the specific device (aire acondicionado) and time period (fin de semana) from the input, demonstrating strong internal coherence (A4).</t>
  </si>
  <si>
    <t>The model correctly decomposes the input into a single intention, which is '¿Cuál fue el consumo total de la casa durante marzo de 2024?'. It accurately classifies this request under the 'consumo_basico' scenario, aligning perfectly with the Expected Output. Furthermore, the 'notas' field provides a clear and consistent explanation for this classification, referencing the historical and temporal nature of the consumption query for March 2024. All criteria (A1-A4 and B1) are met without inventing information or showing incoherence.</t>
  </si>
  <si>
    <t>The model fails significantly in decomposing the input into individual, independent intentions (A1). The input asks about three distinct devices (PC, monitor, router), which the Expected Output correctly separates into three individual requests. The Actual Output, however, treats this as a single, combined request. While the classification of 'consumo_basico' for the identified request is correct (B1) and the 'notas' are internally coherent for its single request (A4), the fundamental failure to decompose the multiple intentions from the input into separate requests (A1) makes the semantic quality insufficient, aligning with the 0-4 range of the rubric.</t>
  </si>
  <si>
    <t>The model correctly decomposes the input into a single intention (A1) without inventing information (A2). The assigned scenario classification 'consumo_basico' is correct and aligns with the Expected Output (B1). The 'notas' field provides clear and consistent reasoning for the classification, demonstrating internal coherence (A4). While the 'solicitud' in the Actual Output is a direct copy of the input rather than a rephrased version like in the Expected Output, it accurately captures the user's intent and does not constitute an error according to the rubric.</t>
  </si>
  <si>
    <t>The model correctly decomposes the input into a single intention (A1) without inventing information (A2), using the exact input text for the 'solicitud' field. The assigned scenario classification 'consumo_basico' is correct and aligns with the Expected Output (B1). Implicit intentions are correctly inferred as the request is direct (A3). The 'notas' field provides clear and consistent reasoning for the classification, demonstrating strong internal coherence (A4). All criteria for the 8-10 range are met.</t>
  </si>
  <si>
    <t>The model correctly decomposed the input into a single intention without inventing information. It accurately classified the request '¿Qué tan feliz estuvo mi casa ayer con el consumo de energía?' as 'entrada_inadmisible', which is correct given its non-technical nature. The reasoning provided in the 'notas' field is clear, consistent, and fully supports the assigned classification.</t>
  </si>
  <si>
    <t>The model failed to correctly decompose the input into individual, independent intentions (A1). The input clearly requests consumption data for three distinct devices (nevera, lavadora, secadora), which the Expected Output correctly separates into three individual requests. However, the Actual Output treated this as a single, composite request, failing to infer the multiple implicit intentions for each device's consumption. While the scenario classification 'consumo_basico' for the single identified request is plausible and the 'notas' are internally consistent with its own output (A4), the fundamental failure in decomposition places it in the 0-4 range according to the rubric.</t>
  </si>
  <si>
    <t>The model correctly decomposes the input into a single request, accurately reflecting the user's intention without inventing any information (A1, A2). The interpretation of the request, 'Dime el consumo de mi lavadora el lunes pasado.', aligns perfectly with the expected output's intention to 'Consultar el consumo energético de la lavadora el lunes pasado.' (A3). Furthermore, the model correctly assigns the request to the '@consumo_basico' scenario, which matches the 'consumo_basico' scenario in the expected output (B1). The 'notas' field provides a clear and coherent explanation for this classification (A4).</t>
  </si>
  <si>
    <t>The model fails to correctly decompose the input into individual, independent intentions, combining two distinct requests for 'nevera' and 'lavadora' consumption into a single entry, which is a failure in A1. It also exhibits a significant internal inconsistency (A4) where the assigned 'escenario' of 'consumo_basico' directly contradicts the reasoning provided in the 'notas' field, which states the request 'se ajusta al escenario 'comparacion_consumos''. This demonstrates a fundamental misunderstanding of the request's structure and classification.</t>
  </si>
  <si>
    <t>The model correctly decomposes the input 'Muéstrame el consumo del ventilador el día de ayer' into a single intention, aligning with the Expected Output. It accurately classifies this intention under the 'consumo_basico' scenario, which matches the Expected Output's classification. Furthermore, the 'notas' field provides a clear and consistent explanation for this classification, demonstrating strong internal coherence. No information is invented, and all evaluation criteria (A1-A4, B1) are fully met.</t>
  </si>
  <si>
    <t>The model fails to correctly decompose the input into all individual, independent intentions (A1). The input asks about 'el televisor y el computador', which should be decomposed into two distinct requests, one for each device, as shown in the Expected Output. Instead, the Actual Output combines them into a single request. This also indicates a failure to adequately infer implicit intentions (A3). While the scenario classification for the single identified request is correct (B1) and the 'notas' field is internally coherent for that single request (A4), the fundamental failure in decomposition places it in the lower score range.</t>
  </si>
  <si>
    <t>The model correctly decomposes the input into a single request and does not invent any information (A1, A2). It accurately identifies the user's intention to query historical energy consumption for a specific period ('la semana pasada'), aligning with the expected interpretation (A3). The assigned scenario 'consumo_basico' is correct and consistent with the request and the expected output (B1). The 'notas' field provides a clear and coherent justification for the scenario assignment (A4). The only minor deviation from the Expected Output is that the 'solicitud' field is a direct copy of the input rather than a rephrased, more abstract intention, but this does not constitute an error in interpretation or decomposition.</t>
  </si>
  <si>
    <t>The model failed to correctly decompose the input 'Quiero saber el consumo del aire acondicionado en la mañana y en la noche de ayer.' into individual, independent requests (A1). The input clearly implies two distinct time periods, but the actual output provided only a single request, which directly contradicts the expected output's decomposition into two separate requests for 'mañana de ayer' and 'noche de ayer' (A3). While the assigned scenario 'consumo_basico' was correct for the type of request and no information was invented, the fundamental failure in decomposition makes the semantic quality insufficient.</t>
  </si>
  <si>
    <t>The model failed to correctly decompose the input 'Muéstrame el consumo del horno en enero y en febrero' into individual, independent requests for each month, as specified by the Expected Output. This is a direct failure in criterion A1 (decomposition) and A3 (correct interpretation), as the Actual Output's single request does not align with the Expected Output's interpretation of two distinct monthly queries. The 'notas' in the Actual Output also contradicts the Expected Output's suggestion of an implicit comparison between periods.</t>
  </si>
  <si>
    <t>The model failed to decompose the input '¿Cuánto consumió mi casa el lunes y cuánto consumió el martes?' into two independent requests, which is a critical failure in step A1. Instead, it kept the entire query as a single request. Furthermore, the 'notas' field in the actual output describes the request as corresponding to a 'comparacion_consumos' scenario, yet the request is assigned 'consumo_basico', demonstrating a significant incoherence between the reasoning and the output (A4, B1). This lack of decomposition and internal inconsistency leads to insufficient semantic quality.</t>
  </si>
  <si>
    <t>The model failed to decompose the input into individual, independent requests (A1). The input clearly contains two distinct requests: one for energy consumption and another for a moral evaluation. The actual output incorrectly treated the entire input as a single request, classifying it solely as 'entrada_inadmisible' due to the morality question. This also led to a significant misalignment with the expected output's interpretation (A3), which correctly identified both requests and their respective scenarios ('consumo_basico' and 'entrada_inadmisible'). Consequently, the model failed to classify the valid 'consumo_basico' request (B1).</t>
  </si>
  <si>
    <t>The model failed to decompose the input '¿Cuánto consumió mi casa en junio, julio y agosto?' into individual, independent requests for each month (June, July, August), which is a critical requirement for evaluation step 1 (A1). Instead, it kept the entire period as a single request, misinterpreting the natural language input's implicit independent queries (A3). Although it correctly identified the 'consumo_basico' scenario, the fundamental lack of decomposition leads to insufficient semantic quality.</t>
  </si>
  <si>
    <t>The model failed to correctly decompose the input 'Dime el consumo del ventilador esta semana y el de la lavadora la semana pasada' into individual, independent requests (A1). It treated the entire input as a single request, whereas the Expected Output clearly shows two distinct requests. This also led to a failure in correctly interpreting the input's natural language into separate intentions (A3). While the assigned scenario 'consumo_basico' for the single, non-decomposed request is consistent with the Expected Output's scenario for individual consumption queries, and the 'notas' field is coherent with the single request, the fundamental failure in decomposition places the response in the 0-4 range of the rubric.</t>
  </si>
  <si>
    <t>The model fails to correctly decompose the input 'Dime el consumo del televisor ayer y analiza si su consumo va en aumento.' into individual, independent intentions (A1). Instead, it treats the entire input as a single request. Consequently, it incorrectly classifies this combined request as 'entrada_inadmisible' (B1), whereas the expected output correctly identifies two distinct, admissible intentions: 'consumo_basico' and 'deteccion_anomalias_tendencias'. The reasoning in the 'notas' field is inconsistent with the correct decomposition and classification, as it incorrectly states that the request does not fit any admitted scenarios (A4).</t>
  </si>
  <si>
    <t>The model failed to decompose the input into individual, independent intentions (A1), treating the compound request 'Dime el consumo del aire acondicionado esta semana y compáralo con la semana pasada' as a single intention. This led to an incorrect scenario classification (B1), as it only identified 'consumo_basico' and completely missed the 'comparacion_consumos' aspect, which was a distinct intention in the Expected Output. Although the 'notas' field acknowledged the comparison, it inconsistently assigned the entire request to 'consumo_basico', indicating a lack of internal coherence (A4) regarding the classification.</t>
  </si>
  <si>
    <t>The model failed to decompose the input into individual, independent requests (A1), treating the entire compound query as a single request. It missed the distinct 'consumo_basico' intention for '¿Cuánto consumió mi nevera ayer?' and only identified the 'comparacion_consumos' aspect, which it incorrectly applied to the combined input. This demonstrates a significant shortcoming in interpreting the natural language and inferring all user intentions (A3), leading to insufficient semantic quality.</t>
  </si>
  <si>
    <t>The model fails to correctly decompose the input into individual requests, treating the entire complex query as a single unit (A1). It invents information by stating the request is not related to energy consumption, which directly contradicts the input '¿Cuánto consumió la lavadora...?' (A2). The interpretation of the natural language is incorrect, missing the two distinct intentions (A3). Consequently, the assigned scenario 'entrada_inadmisible' is incorrect, as the expected output clearly shows 'consumo_basico' and 'comparacion_consumos' are valid scenarios for the request's components (B1). The 'notas' are incoherent with a correct understanding of the input and available scenarios (A4).</t>
  </si>
  <si>
    <t>The model fails significantly in decomposing the input into individual intentions (A1), presenting the entire complex query as a single request. Furthermore, there is a critical internal inconsistency (A4) where the 'notas' field explicitly describes a decomposition into two requests with specific scenario classifications, but the actual JSON output only contains one request. The classification of this single request as 'consumo_basico' is also incorrect for the entire complex input, as it ignores the comparison and anomaly detection aspects (B1).</t>
  </si>
  <si>
    <t>The model failed to correctly decompose the input into individual, independent intentions (A1), treating 'Quiero el consumo del horno este mes y saber si hay alguna anomalía' as a single request instead of two distinct ones, as shown in the Expected Output. Consequently, it incorrectly classified the anomaly detection part under 'consumo_basico' (B1), whereas the Expected Output correctly identifies 'deteccion_anomalias_tendencias' for anomalies. While the 'notas' field attempts to justify its single classification, the fundamental failure in decomposition and scenario assignment places it in the lower range of the rubric.</t>
  </si>
  <si>
    <t>The model failed to correctly decompose the input into individual, independent requests, treating two distinct user intentions as a single request. Specifically, it combined 'Consultar el consumo energético del PC durante el día de ayer' (expected as 'consumo_basico') and 'Analizar si el consumo energético del PC ha mostrado una tendencia creciente durante el mes' (expected as 'deteccion_anomalias_tendencias') into one. This demonstrates a significant shortcoming in criteria A1 and A3, as the actual output does not align with the expected output's interpretation of the natural language and its decomposition.</t>
  </si>
  <si>
    <t>The model fails significantly in decomposing the input into individual, independent intentions (A1), treating the entire request as a single unit instead of three distinct intentions as shown in the Expected Output. It also incorrectly classifies the combined request as 'consumo_basico' (B1), missing the explicit comparison aspect which should lead to a 'comparacion_consumos' scenario. Furthermore, the 'notas' field acknowledges the comparison but then classifies it as 'consumo_basico', indicating an internal inconsistency between reasoning and classification (A4). The model also fails to infer the implicit intentions of querying consumption for 'yesterday' and 'today' separately (A3).</t>
  </si>
  <si>
    <t>The model fails to decompose the input into individual, independent requests (A1), treating the two distinct intentions of 'consultar consumo' and 'comparar consumos' as a single request. Furthermore, there is a direct contradiction between the assigned 'escenario' ('consumo_basico') and the 'notas' field, which explicitly states the request 'pertenece al escenario 'comparacion_consumos'', indicating a significant incoherence (A4/B1 failure). The assigned scenario for the single, undecomposed request is also incorrect given the explicit comparison aspect of the input.</t>
  </si>
  <si>
    <t>The model failed to decompose the input into individual, independent requests (A1), treating the entire input as a single request. This led to an incorrect interpretation of the user's intentions (A3) and an incorrect scenario classification (B1) for the valid part of the request, 'Dime el consumo del aire acondicionado ayer', which should have been 'consumo_basico'. The model's output significantly deviates from the expected output's decomposition and classification.</t>
  </si>
  <si>
    <t>The model failed to decompose the input 'Quiero saber el consumo del ventilador y si hubo algún pico extraño ayer' into its two individual, independent intentions (A1), as demonstrated by the Expected Output. It incorrectly treated the entire input as a single request. Consequently, it also failed to infer the implicit intentions (A3) for basic consumption and anomaly detection. Furthermore, the model incorrectly classified the entire input as 'entrada_inadmisible' (B1), whereas the Expected Output correctly identifies two admissible scenarios: 'consumo_basico' and 'deteccion_anomalias_tendencias'.</t>
  </si>
  <si>
    <t>The model failed to decompose the input 'Dime el consumo de mi nevera ayer y luego compáralo con el consumo del sábado pasado' into individual, independent requests, treating it as a single request instead of two distinct ones as per the Expected Output. This is a significant failure in criterion A1. Furthermore, the 'notas' field explicitly states that the request 'cumple las características de 'comparacion_consumos'', yet the assigned scenario for the request is 'consumo_basico', demonstrating a clear incoherence between the reasoning and the output (A4) and an incorrect scenario classification (B1).</t>
  </si>
  <si>
    <t>The model fails to decompose the input 'Quiero saber el consumo del ventilador este mes y luego dime si la tendencia es creciente' into two distinct, independent intentions as required by the Expected Output (A1 failure). It treats the entire input as a single request, thereby also failing to infer the two implicit intentions (A3 failure). While the 'notas' correctly identifies the need for comparison and trend evaluation, the single classification 'comparacion_consumos' is an oversimplification and does not align with the Expected Output's granular classification of 'consumo_basico' and 'deteccion_anomalias_tendencias' (B1 incorrect). This fundamental failure in decomposition and classification places the response in the lowest rubric category.</t>
  </si>
  <si>
    <t>The model failed to decompose the input 'Primero quiero saber cuánto consumió mi casa este mes y después si aumentó respecto al mes pasado' into individual, independent requests, which is a critical failure of evaluation step 1 (A1). Instead, it treated the entire input as a single request. This directly led to an incorrect interpretation of the input's natural language (A3) and an incorrect assignment of a single scenario ('consumo_basico') to a request that should have been split into two distinct requests with different scenarios ('consumo_basico' and 'comparacion_consumos') as per the Expected Output (B1). The 'notas' field reflects this misinterpretation by attempting to justify a single scenario for the combined request.</t>
  </si>
  <si>
    <t>The model fails to correctly decompose the input 'Dime cuánto consumió la lavadora el lunes y luego compárala con el martes.' into individual, independent requests (A1), treating it as a single request instead of two distinct ones as shown in the Expected Output. This leads to an incorrect interpretation of the input's natural language (A3). Furthermore, while the 'notas' field correctly identifies the comparison aspect and suggests 'comparacion_consumos' as the fitting scenario, the actual 'escenario' assigned to the single, undecomposed request is 'consumo_basico', which is incorrect for a request that explicitly includes a comparison, demonstrating an inconsistency between the reasoning and the output (A4, B1).</t>
  </si>
  <si>
    <t>The model failed to correctly decompose the input 'Primero dime el consumo total de la casa y luego dime si ha ido aumentando en el año' into individual, independent requests (A1). Instead, it treated the entire input as a single request and incorrectly classified it as 'entrada_inadmisible'. This contradicts the Expected Output, which correctly identifies two distinct requests: 'Consultar el consumo energético total del hogar en el periodo actual' and 'Analizar la tendencia anual del consumo energético total del hogar', assigning them to 'consumo_basico' and 'deteccion_anomalias_tendencias' respectively. The model's interpretation of the input's natural language (A3) and subsequent scenario assignment (B1) are therefore incorrect.</t>
  </si>
  <si>
    <t>The model failed to correctly decompose the input 'Quiero saber el consumo de mi PC esta semana y luego compararlo con la semana pasada' into individual, independent requests (A1). It treated the entire input as a single request, whereas the Expected Output correctly identified two distinct intentions: 'Consultar el consumo energético del PC durante esta semana' and 'Comparar el consumo energético del PC entre esta semana y la semana pasada'. This also indicates an incorrect interpretation of the natural language (A3). Additionally, despite the 'notas' in the Actual Output mentioning 'comparación entre dos periodos temporales', it incorrectly assigned the 'consumo_basico' scenario to the combined request, failing to recognize the 'comparacion_consumos' scenario for the comparison aspect (B1).</t>
  </si>
  <si>
    <t>The model failed to correctly decompose the input into individual, independent requests (A1), treating the two distinct intentions 'Dime el consumo...' and 'luego analiza si hubo anomalías' as a single request. Consequently, its interpretation of the input's natural language (A3) is incorrect as it did not separate the consumption query from the anomaly detection. The scenario assignment (B1) for the combined request is also incorrect, as anomaly detection should be classified under 'deteccion_anomalias_tendencias' as per the Expected Output, not solely 'consumo_basico'. The 'notas' field (A4) attempts to justify the single scenario, but this justification is flawed given the multi-intent nature of the input.</t>
  </si>
  <si>
    <t>The model completely fails to decompose the input 'Dime el consumo del horno ayer y luego dime si fue anormal.' into individual requests, treating it as a single 'entrada_inadmisible'. This directly contradicts the expected output, which correctly identifies two distinct requests: 'Consultar el consumo energético del horno durante el día de ayer.' (consumo_basico) and 'Detectar si el consumo energético del horno ayer fue anómalo.' (deteccion_anomalias_tendencias). The actual output's 'notas' also incorrectly states that the request is not related to consulting historical consumption or identifying anomalous behavior, which are the core intentions identified in the expected output. This demonstrates a fundamental failure in semantic understanding (A1, A3) and scenario classification (B1).</t>
  </si>
  <si>
    <t>The model correctly decomposes the input into two independent requests, 'Dime el consumo del televisor ayer.' and 'Dime si debería cambiar de carrera profesional.', without inventing information (A1, A2). The interpretation of these requests aligns perfectly with the user's natural language and the expected output's intent (A3). Both requests are accurately classified: 'consumo_basico' for the first and 'entrada_inadmisible' for the second (B1). The 'notas' field is clear, coherent, and provides a precise explanation for each categorization (A4).</t>
  </si>
  <si>
    <t>The model failed significantly in decomposing the input into individual intentions (A1), identifying only one request instead of the four distinct requests present in the input. It also exhibited a critical internal incoherence (A4) where its 'notas' field explicitly stated that the request coincided with 'comparacion_consumos', yet the assigned 'escenario' was 'consumo_basico'. This demonstrates a failure to correctly classify the request (B1) and infer implicit intentions (A3) for comparison and anomaly detection, as indicated by the Expected Output.</t>
  </si>
  <si>
    <t>The model fails significantly in decomposing the input into individual, independent intentions (A1). It treats three distinct requests from the input ('¿Cuánto consumió el aire acondicionado ayer?', 'cómo se compara con la semana pasada', and 'qué tendencia tiene?') as a single request. This leads to an incorrect classification (B1) and a failure to infer distinct implicit intentions (A3), as it only assigns 'comparacion_consumos' to the combined request, missing 'consumo_basico' and 'deteccion_anomalias_tendencias' entirely, which are present in the Expected Output.</t>
  </si>
  <si>
    <t>The model failed to decompose the input 'Dime el consumo del aire acondicionado esta semana, compáralo con la anterior y analiza la tendencia.' into individual, independent requests (A1), treating the entire input as a single request. This led to an incorrect interpretation of the user's multiple intentions (A3) and an incomplete scenario classification (B1), as it assigned 'comparacion_consumos' to a request that also included a basic consumption query and a trend analysis, which the Expected Output correctly separated into 'consumo_basico', 'comparacion_consumos', and 'deteccion_anomalias_tendencias'.</t>
  </si>
  <si>
    <t>The model failed significantly in decomposing the input into individual, independent intentions (A1), treating the entire complex request as a single intention instead of three distinct ones as shown in the Expected Output. Additionally, there is a clear internal incoherence (A4) as the 'notas' field explicitly states that the scenario coincides with 'comparacion_consumos', while the assigned 'escenario' for the request is 'consumo_basico'. The classification (B1) for the combined intention is also incorrect.</t>
  </si>
  <si>
    <t>The model incorrectly identifies the input 'Dime el consumo del horno este mes, analiza si hay anomalías y dime si va en aumento' as 'entrada_inadmisible'. It explicitly states in the 'notas' that 'La solicitud no está relacionada con consumo energético', which directly contradicts the input's clear request for 'consumo del horno'. This demonstrates a fundamental failure in decomposing the request into individual intentions (A1) and correctly interpreting the natural language (A3), leading to an incorrect scenario classification (B1) and incoherent notes (A4). The model invents information by denying the energy consumption context.</t>
  </si>
  <si>
    <t>The model failed to decompose the input into individual, independent intentions (A1), instead classifying the entire complex request as 'entrada_inadmisible'. This directly contradicts the Expected Output, which correctly identifies three distinct intentions and their respective scenarios. Although the 'notas' acknowledge the presence of multiple categories, the conclusion that the request is inadmissible due to its complexity demonstrates a fundamental failure in the core task of decomposition and scenario classification (B1).</t>
  </si>
  <si>
    <t>The model fails to correctly decompose the input, specifically missing the independent request for 'consumo del PC hoy' as a 'consumo_basico' scenario. Instead, it invents information in request '@2' by adding 'ayer' for the PC, which was not present in the input, violating A2. This leads to an incorrect interpretation and decomposition compared to the expected output, impacting A1 and A3. While it correctly identifies the 'consumo_basico' for the fan and the final comparison, the significant error in handling the PC consumption request places it in the lower range of the rubric.</t>
  </si>
  <si>
    <t>The model failed to decompose the input into individual, independent requests, treating the entire sentence as a single request. The Expected Output clearly identifies three distinct intentions: basic consumption, comparison, and anomaly detection. The Actual Output's single request and scenario assignment of 'comparacion_consumos' for the whole input does not align with the Expected Output's detailed interpretation and decomposition, indicating a significant failure in criteria A1 and A3. While the 'notas' field mentions 'picos', this intention is not reflected in a separate decomposed request or scenario.</t>
  </si>
  <si>
    <t>The model failed to correctly decompose the input into individual, independent requests, combining three distinct intentions into a single request. This is a significant shortcoming in A1. While the 'notas' field correctly identifies the different intentions (A4), the model incorrectly assigns the 'consumo_basico' scenario to the entire combined request, which includes elements that, according to the Expected Output, should belong to 'deteccion_anomalias_tendencias' (B1). This demonstrates an inconsistency in scenario classification and a failure to align with the Expected Output's interpretation (A3).</t>
  </si>
  <si>
    <t>The model failed to correctly decompose the input into individual, independent requests (A1), treating the entire query as a single unit instead of separating the consumption requests for the fridge and TV, and the explicit comparison request. Consequently, its interpretation of the natural language (A3) was incorrect, missing the distinct comparison intention. The scenario assignment (B1) was also incorrect, as it classified the entire request, including the comparison, under 'consumo_basico' instead of identifying a 'comparacion_consumos' scenario as indicated by the 'Expected Output'. Furthermore, the 'notas' field (A4) exhibited incoherence by acknowledging the comparison but then incorrectly stating it aligns with a single 'consumo_basico' scenario.</t>
  </si>
  <si>
    <t>Modelo</t>
  </si>
  <si>
    <t>llama33_70b</t>
  </si>
  <si>
    <t>qwen3_coder_35b_480b</t>
  </si>
  <si>
    <t>deepseek_r1t2_chimera_671b</t>
  </si>
  <si>
    <t>llama31_8b</t>
  </si>
  <si>
    <t>gemma_7b</t>
  </si>
  <si>
    <t>xiaomi_mimoV2_flash_15b_309b</t>
  </si>
  <si>
    <t>mistral_devstral2_123b</t>
  </si>
  <si>
    <t>mistral_7b</t>
  </si>
  <si>
    <t>deepseek_R1_8b</t>
  </si>
  <si>
    <t>qwen25_3b</t>
  </si>
  <si>
    <t>promedio</t>
  </si>
  <si>
    <t>pregunta</t>
  </si>
  <si>
    <t>Pregunta</t>
  </si>
  <si>
    <t>Dime el consumo de mi nevera ayer y el consumo de mi lavadora ayer.</t>
  </si>
  <si>
    <t>¿Cuánto consumió mi casa el lunes y cuánto consumió el martes?</t>
  </si>
  <si>
    <t>¿Cuánta energía gastaron mi PC, mi monitor y mi router ayer?</t>
  </si>
  <si>
    <t>Dime cuántos kWh consumió mi casa la semana pasada.</t>
  </si>
  <si>
    <t>Dime el consumo de mi televisor ayer y dime también si eso fue moralmente correcto.</t>
  </si>
  <si>
    <t>¿Cuál fue el consumo total de la casa durante marzo de 2024?</t>
  </si>
  <si>
    <t>¿Cuánto consumieron el televisor y el computador el sábado pasado?</t>
  </si>
  <si>
    <t>Muéstrame el consumo del ventilador el día de ayer.</t>
  </si>
  <si>
    <t>Dime el consumo del ventilador esta semana y el de la lavadora la semana pasada.</t>
  </si>
  <si>
    <t>Muéstrame el consumo del horno en enero y en febrero.</t>
  </si>
  <si>
    <t>¿Cuánto consumió mi televisor ayer en la noche?</t>
  </si>
  <si>
    <t>¿Cuánto consumió el aire acondicionado el fin de semana pasado?</t>
  </si>
  <si>
    <t>Quiero saber el consumo de mi nevera, mi lavadora y mi secadora el domingo.</t>
  </si>
  <si>
    <t>¿Cuál fue el consumo energético de mi horno el 15 de noviembre?</t>
  </si>
  <si>
    <t>¿Cuánto consumió mi casa en junio, julio y agosto?</t>
  </si>
  <si>
    <t>Dime el consumo de mi lavadora el lunes pasado.</t>
  </si>
  <si>
    <t>Quiero saber el consumo del aire acondicionado en la mañana y en la noche de ayer.</t>
  </si>
  <si>
    <t>¿Cuánto consumió mi nevera durante el mes de enero?</t>
  </si>
  <si>
    <t>¿Qué tan feliz estuvo mi casa ayer con el consumo de energía?</t>
  </si>
  <si>
    <t>Quiero saber cuánta energía gastó mi computador hoy.</t>
  </si>
  <si>
    <t>Quiero saber el consumo del ventilador y si hubo algún pico extraño ayer.</t>
  </si>
  <si>
    <t>¿Cuánto consumió mi nevera ayer y cuál consumió más, la nevera o el horno?</t>
  </si>
  <si>
    <t>¿Cuánto consumió mi casa en noviembre y cómo se compara con octubre?</t>
  </si>
  <si>
    <t>¿Cuánto consumió la lavadora el sábado y fue más que el domingo?</t>
  </si>
  <si>
    <t>Dime el consumo del televisor ayer y analiza si su consumo va en aumento.</t>
  </si>
  <si>
    <t>Quiero el consumo del horno este mes y saber si hay alguna anomalía.</t>
  </si>
  <si>
    <t>¿Cuánto consumió mi nevera ayer, compárala con la lavadora y dime si hay picos raros?</t>
  </si>
  <si>
    <t>Dime el consumo del horno ayer y luego dime si fue anormal.</t>
  </si>
  <si>
    <t>Dime el consumo del aire acondicionado ayer y dime si eso significa que soy irresponsable.</t>
  </si>
  <si>
    <t>Quiero saber el consumo del ventilador este mes y luego dime si la tendencia es creciente.</t>
  </si>
  <si>
    <t>Primero quiero saber cuánto consumió mi casa este mes y después si aumentó respecto al mes pasado.</t>
  </si>
  <si>
    <t>Dime el consumo del aire acondicionado esta semana y compáralo con la semana pasada.</t>
  </si>
  <si>
    <t>Dime cuánto consumió la lavadora el lunes y luego compárala con el martes.</t>
  </si>
  <si>
    <t>Dime el consumo del televisor ayer y luego dime si debería cambiar de carrera profesional.</t>
  </si>
  <si>
    <t>Dime el consumo de mi nevera ayer y luego compáralo con el consumo del sábado pasado.</t>
  </si>
  <si>
    <t>Primero dime el consumo total de la casa y luego dime si ha ido aumentando en el año.</t>
  </si>
  <si>
    <t>Dime el consumo del aire acondicionado la semana pasada y luego analiza si hubo anomalías.</t>
  </si>
  <si>
    <t>Quiero saber cuánto consumió mi nevera ayer, cuánto consumió la lavadora, compararlas y decirme si alguna tuvo un consumo extraño.</t>
  </si>
  <si>
    <t>Quiero saber el consumo de mi PC esta semana y luego compararlo con la semana pasada.</t>
  </si>
  <si>
    <t>¿Cuánto consumió mi PC ayer y ha venido aumentando su consumo este mes?</t>
  </si>
  <si>
    <t>Obtén el consumo del televisor ayer y compáralo con el de hoy.</t>
  </si>
  <si>
    <t>Quiero el consumo del ventilador ayer, del PC hoy y una comparación entre ambos.</t>
  </si>
  <si>
    <t>¿Cuánto consumió mi casa en octubre, cómo se compara con noviembre y hubo algún pico raro?</t>
  </si>
  <si>
    <t>¿Cuánto consumieron la nevera y el televisor ayer y cuál fue mayor?</t>
  </si>
  <si>
    <t>Dime el consumo del horno este mes, analiza si hay anomalías y dime si va en aumento.</t>
  </si>
  <si>
    <t>Quiero saber el consumo total de la casa, si ha aumentado este año y si hubo días anómalos.</t>
  </si>
  <si>
    <t>¿Cuánto consumió el aire acondicionado ayer, cómo se compara con la semana pasada y qué tendencia tiene?</t>
  </si>
  <si>
    <t>Dime el consumo de mi nevera ayer, compárala con la lavadora y dime si con eso ya puedo ahorrar para irme de viaje.</t>
  </si>
  <si>
    <t>Dime el consumo del aire acondicionado esta semana, compáralo con la anterior y analiza la tendencia.</t>
  </si>
  <si>
    <t>Dime el consumo de mi lavadora el fin de semana, compárala con el horno y revisa si hubo picos.</t>
  </si>
  <si>
    <t>ID_PREGUNTA</t>
  </si>
  <si>
    <t>Aunque efectivamenet no descompuso la solicitud por cada dispositivo por aparte, el sistema está capacitado para recibir ese tipo de solicitud. Nueva calificación: 0.8</t>
  </si>
  <si>
    <t>revision_humana</t>
  </si>
  <si>
    <t>La consulta es de 3 meses seguidos, por lo tanto no se considera mal descompuesta, aparte, el sistema está capacitado para recibir ese tipo de consultas. nueva calificación:0.8</t>
  </si>
  <si>
    <t>Ciertamente no se dice explícitamente que le de el consumo de la lavadora el martes, solo que lo compare con el lunes, sin embargo, se considera una correcta interpretación alternativa. Nueva nota: 0.8</t>
  </si>
  <si>
    <t>El sistema está capacitado para recibir consultas de múltiples dispositivos en el mismo periodo de tiempo. nueva nota: 0.8</t>
  </si>
  <si>
    <t>Aunque se puede inferir comparación, es válido el no hacerlo. nueva nota: 0.9</t>
  </si>
  <si>
    <t>Inferencia válida. nueva nota: 0.9</t>
  </si>
  <si>
    <t>el modelo inventa información y referencia fechas de la nada. nueva nota: 0.3</t>
  </si>
  <si>
    <t>Se considera que el modelo hizo una interpretación válida de la solicitud del usuario. nueva nota: 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</si>
</sst>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libri"/>
      <scheme val="minor"/>
    </font>
    <font>
      <sz val="11"/>
      <color theme="1"/>
      <name val="Calibri"/>
      <scheme val="minor"/>
    </font>
    <font>
      <u/>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9">
    <xf numFmtId="0" fontId="0" fillId="0" borderId="0" xfId="0"/>
    <xf numFmtId="0" fontId="3" fillId="0" borderId="1" xfId="0" applyFont="1" applyBorder="1" applyAlignment="1">
      <alignment horizontal="center" vertical="top"/>
    </xf>
    <xf numFmtId="0" fontId="4" fillId="0" borderId="0" xfId="0" applyFont="1"/>
    <xf numFmtId="0" fontId="4" fillId="0" borderId="0" xfId="0" applyFont="1" applyAlignment="1">
      <alignment horizontal="center"/>
    </xf>
    <xf numFmtId="0" fontId="0" fillId="0" borderId="0" xfId="0" applyAlignment="1">
      <alignment horizontal="center"/>
    </xf>
    <xf numFmtId="0" fontId="2" fillId="0" borderId="1" xfId="0" applyFont="1" applyBorder="1" applyAlignment="1">
      <alignment horizontal="center" vertical="top"/>
    </xf>
    <xf numFmtId="0" fontId="1" fillId="0" borderId="0" xfId="0" applyFont="1"/>
    <xf numFmtId="0" fontId="2" fillId="0" borderId="0" xfId="0" applyFont="1" applyAlignment="1">
      <alignment horizontal="center"/>
    </xf>
    <xf numFmtId="0" fontId="1" fillId="0" borderId="0" xfId="0" applyFont="1" applyAlignment="1">
      <alignment horizontal="center"/>
    </xf>
    <xf numFmtId="0" fontId="5" fillId="0" borderId="0" xfId="0" applyFont="1"/>
    <xf numFmtId="0" fontId="0" fillId="0" borderId="2" xfId="0" applyBorder="1"/>
    <xf numFmtId="0" fontId="0" fillId="2" borderId="0" xfId="0" applyFill="1" applyAlignment="1">
      <alignment horizontal="center"/>
    </xf>
    <xf numFmtId="0" fontId="1" fillId="2" borderId="0" xfId="0" applyFont="1" applyFill="1"/>
    <xf numFmtId="0" fontId="1" fillId="2" borderId="0" xfId="0" applyFont="1" applyFill="1" applyAlignment="1">
      <alignment horizontal="center"/>
    </xf>
    <xf numFmtId="0" fontId="0" fillId="2" borderId="0" xfId="0" applyFill="1"/>
    <xf numFmtId="0" fontId="0" fillId="2" borderId="0" xfId="0" applyFont="1" applyFill="1"/>
    <xf numFmtId="0" fontId="2" fillId="0" borderId="3" xfId="0" applyFont="1" applyBorder="1" applyAlignment="1">
      <alignment horizontal="center" vertical="top" wrapText="1"/>
    </xf>
    <xf numFmtId="0" fontId="0" fillId="0" borderId="4" xfId="0" applyBorder="1" applyAlignment="1">
      <alignment wrapText="1"/>
    </xf>
    <xf numFmtId="0" fontId="0" fillId="2" borderId="4" xfId="0" applyFill="1" applyBorder="1" applyAlignment="1">
      <alignment wrapText="1"/>
    </xf>
    <xf numFmtId="0" fontId="0" fillId="0" borderId="0" xfId="0" applyFill="1" applyAlignment="1">
      <alignment horizontal="center"/>
    </xf>
    <xf numFmtId="0" fontId="1" fillId="0" borderId="0" xfId="0" applyFont="1" applyFill="1"/>
    <xf numFmtId="0" fontId="1" fillId="0" borderId="0" xfId="0" applyFont="1" applyFill="1" applyAlignment="1">
      <alignment horizontal="center"/>
    </xf>
    <xf numFmtId="0" fontId="0" fillId="0" borderId="4" xfId="0" applyFill="1" applyBorder="1" applyAlignment="1">
      <alignment wrapText="1"/>
    </xf>
    <xf numFmtId="0" fontId="0" fillId="0" borderId="0" xfId="0" applyFill="1"/>
    <xf numFmtId="0" fontId="2" fillId="0" borderId="0" xfId="0" applyFont="1" applyFill="1" applyBorder="1" applyAlignment="1">
      <alignment horizontal="center" vertical="top"/>
    </xf>
    <xf numFmtId="0" fontId="0" fillId="3" borderId="0" xfId="0" applyFill="1" applyAlignment="1">
      <alignment horizontal="center"/>
    </xf>
    <xf numFmtId="0" fontId="1" fillId="3" borderId="0" xfId="0" applyFont="1" applyFill="1"/>
    <xf numFmtId="0" fontId="0" fillId="3" borderId="4" xfId="0" applyFill="1" applyBorder="1" applyAlignment="1">
      <alignment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Comparativa</a:t>
            </a:r>
            <a:r>
              <a:rPr lang="es-CO" baseline="0"/>
              <a:t> de modelos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Comparaciones!$B$2:$B$11</c:f>
              <c:strCache>
                <c:ptCount val="10"/>
                <c:pt idx="0">
                  <c:v>qwen25_3b</c:v>
                </c:pt>
                <c:pt idx="1">
                  <c:v>gemma_7b</c:v>
                </c:pt>
                <c:pt idx="2">
                  <c:v>mistral_7b</c:v>
                </c:pt>
                <c:pt idx="3">
                  <c:v>deepseek_R1_8b</c:v>
                </c:pt>
                <c:pt idx="4">
                  <c:v>llama31_8b</c:v>
                </c:pt>
                <c:pt idx="5">
                  <c:v>llama33_70b</c:v>
                </c:pt>
                <c:pt idx="6">
                  <c:v>mistral_devstral2_123b</c:v>
                </c:pt>
                <c:pt idx="7">
                  <c:v>xiaomi_mimoV2_flash_15b_309b</c:v>
                </c:pt>
                <c:pt idx="8">
                  <c:v>qwen3_coder_35b_480b</c:v>
                </c:pt>
                <c:pt idx="9">
                  <c:v>deepseek_r1t2_chimera_671b</c:v>
                </c:pt>
              </c:strCache>
            </c:strRef>
          </c:cat>
          <c:val>
            <c:numRef>
              <c:f>Comparaciones!$C$2:$C$11</c:f>
              <c:numCache>
                <c:formatCode>General</c:formatCode>
                <c:ptCount val="10"/>
                <c:pt idx="0">
                  <c:v>0.37999999999999984</c:v>
                </c:pt>
                <c:pt idx="1">
                  <c:v>0.50199999999999978</c:v>
                </c:pt>
                <c:pt idx="2">
                  <c:v>0.48599999999999999</c:v>
                </c:pt>
                <c:pt idx="3">
                  <c:v>0.76600000000000013</c:v>
                </c:pt>
                <c:pt idx="4">
                  <c:v>0.60000000000000009</c:v>
                </c:pt>
                <c:pt idx="5">
                  <c:v>0.872</c:v>
                </c:pt>
                <c:pt idx="6">
                  <c:v>0.88999999999999968</c:v>
                </c:pt>
                <c:pt idx="7">
                  <c:v>0.90200000000000002</c:v>
                </c:pt>
                <c:pt idx="8">
                  <c:v>0.85199999999999976</c:v>
                </c:pt>
                <c:pt idx="9">
                  <c:v>0.91199999999999992</c:v>
                </c:pt>
              </c:numCache>
            </c:numRef>
          </c:val>
          <c:extLst>
            <c:ext xmlns:c16="http://schemas.microsoft.com/office/drawing/2014/chart" uri="{C3380CC4-5D6E-409C-BE32-E72D297353CC}">
              <c16:uniqueId val="{00000000-05CF-40D0-BDF1-88C8803101E8}"/>
            </c:ext>
          </c:extLst>
        </c:ser>
        <c:dLbls>
          <c:dLblPos val="outEnd"/>
          <c:showLegendKey val="0"/>
          <c:showVal val="1"/>
          <c:showCatName val="0"/>
          <c:showSerName val="0"/>
          <c:showPercent val="0"/>
          <c:showBubbleSize val="0"/>
        </c:dLbls>
        <c:gapWidth val="219"/>
        <c:overlap val="-27"/>
        <c:axId val="361424303"/>
        <c:axId val="546889871"/>
      </c:barChart>
      <c:catAx>
        <c:axId val="36142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6889871"/>
        <c:crosses val="autoZero"/>
        <c:auto val="1"/>
        <c:lblAlgn val="ctr"/>
        <c:lblOffset val="100"/>
        <c:noMultiLvlLbl val="0"/>
      </c:catAx>
      <c:valAx>
        <c:axId val="54688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6142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Tendendencia</a:t>
            </a:r>
            <a:r>
              <a:rPr lang="es-CO" baseline="0"/>
              <a:t> de los modelos pequeños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1"/>
          <c:order val="0"/>
          <c:tx>
            <c:v>qwen25_3b</c:v>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qwen25_3b!$C$2:$C$51</c:f>
              <c:numCache>
                <c:formatCode>General</c:formatCode>
                <c:ptCount val="50"/>
                <c:pt idx="0">
                  <c:v>1</c:v>
                </c:pt>
                <c:pt idx="1">
                  <c:v>1</c:v>
                </c:pt>
                <c:pt idx="2">
                  <c:v>1</c:v>
                </c:pt>
                <c:pt idx="3">
                  <c:v>0.9</c:v>
                </c:pt>
                <c:pt idx="4">
                  <c:v>1</c:v>
                </c:pt>
                <c:pt idx="5">
                  <c:v>1</c:v>
                </c:pt>
                <c:pt idx="6">
                  <c:v>1</c:v>
                </c:pt>
                <c:pt idx="7">
                  <c:v>0.9</c:v>
                </c:pt>
                <c:pt idx="8">
                  <c:v>1</c:v>
                </c:pt>
                <c:pt idx="9">
                  <c:v>1</c:v>
                </c:pt>
                <c:pt idx="10">
                  <c:v>0.2</c:v>
                </c:pt>
                <c:pt idx="11">
                  <c:v>0.3</c:v>
                </c:pt>
                <c:pt idx="12">
                  <c:v>0.3</c:v>
                </c:pt>
                <c:pt idx="13">
                  <c:v>0.2</c:v>
                </c:pt>
                <c:pt idx="14">
                  <c:v>0.2</c:v>
                </c:pt>
                <c:pt idx="15">
                  <c:v>0.3</c:v>
                </c:pt>
                <c:pt idx="16">
                  <c:v>0.2</c:v>
                </c:pt>
                <c:pt idx="17">
                  <c:v>0.3</c:v>
                </c:pt>
                <c:pt idx="18">
                  <c:v>0.3</c:v>
                </c:pt>
                <c:pt idx="19">
                  <c:v>0.2</c:v>
                </c:pt>
                <c:pt idx="20">
                  <c:v>0.2</c:v>
                </c:pt>
                <c:pt idx="21">
                  <c:v>0.2</c:v>
                </c:pt>
                <c:pt idx="22">
                  <c:v>0.2</c:v>
                </c:pt>
                <c:pt idx="23">
                  <c:v>0.1</c:v>
                </c:pt>
                <c:pt idx="24">
                  <c:v>0.2</c:v>
                </c:pt>
                <c:pt idx="25">
                  <c:v>0.2</c:v>
                </c:pt>
                <c:pt idx="26">
                  <c:v>0.1</c:v>
                </c:pt>
                <c:pt idx="27">
                  <c:v>0.3</c:v>
                </c:pt>
                <c:pt idx="28">
                  <c:v>0.2</c:v>
                </c:pt>
                <c:pt idx="29">
                  <c:v>0.2</c:v>
                </c:pt>
                <c:pt idx="30">
                  <c:v>0.2</c:v>
                </c:pt>
                <c:pt idx="31">
                  <c:v>0.1</c:v>
                </c:pt>
                <c:pt idx="32">
                  <c:v>0.3</c:v>
                </c:pt>
                <c:pt idx="33">
                  <c:v>0.2</c:v>
                </c:pt>
                <c:pt idx="34">
                  <c:v>0.3</c:v>
                </c:pt>
                <c:pt idx="35">
                  <c:v>0.2</c:v>
                </c:pt>
                <c:pt idx="36">
                  <c:v>0.2</c:v>
                </c:pt>
                <c:pt idx="37">
                  <c:v>0.1</c:v>
                </c:pt>
                <c:pt idx="38">
                  <c:v>0.2</c:v>
                </c:pt>
                <c:pt idx="39">
                  <c:v>1</c:v>
                </c:pt>
                <c:pt idx="40">
                  <c:v>0.2</c:v>
                </c:pt>
                <c:pt idx="41">
                  <c:v>0.2</c:v>
                </c:pt>
                <c:pt idx="42">
                  <c:v>0.2</c:v>
                </c:pt>
                <c:pt idx="43">
                  <c:v>0.3</c:v>
                </c:pt>
                <c:pt idx="44">
                  <c:v>0.1</c:v>
                </c:pt>
                <c:pt idx="45">
                  <c:v>0.2</c:v>
                </c:pt>
                <c:pt idx="46">
                  <c:v>0.3</c:v>
                </c:pt>
                <c:pt idx="47">
                  <c:v>0.2</c:v>
                </c:pt>
                <c:pt idx="48">
                  <c:v>0.2</c:v>
                </c:pt>
                <c:pt idx="49">
                  <c:v>0.1</c:v>
                </c:pt>
              </c:numCache>
            </c:numRef>
          </c:val>
          <c:smooth val="0"/>
          <c:extLst>
            <c:ext xmlns:c16="http://schemas.microsoft.com/office/drawing/2014/chart" uri="{C3380CC4-5D6E-409C-BE32-E72D297353CC}">
              <c16:uniqueId val="{00000002-22B5-4D7F-93EA-69595BF1130B}"/>
            </c:ext>
          </c:extLst>
        </c:ser>
        <c:ser>
          <c:idx val="0"/>
          <c:order val="1"/>
          <c:tx>
            <c:v>gemma_7b</c:v>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gemma_7b!$C$2:$C$51</c:f>
              <c:numCache>
                <c:formatCode>General</c:formatCode>
                <c:ptCount val="50"/>
                <c:pt idx="0">
                  <c:v>0.4</c:v>
                </c:pt>
                <c:pt idx="1">
                  <c:v>0.3</c:v>
                </c:pt>
                <c:pt idx="2">
                  <c:v>0.3</c:v>
                </c:pt>
                <c:pt idx="3">
                  <c:v>0.4</c:v>
                </c:pt>
                <c:pt idx="4">
                  <c:v>1</c:v>
                </c:pt>
                <c:pt idx="5">
                  <c:v>0.2</c:v>
                </c:pt>
                <c:pt idx="6">
                  <c:v>0.3</c:v>
                </c:pt>
                <c:pt idx="7">
                  <c:v>0.3</c:v>
                </c:pt>
                <c:pt idx="8">
                  <c:v>0.3</c:v>
                </c:pt>
                <c:pt idx="9">
                  <c:v>0.3</c:v>
                </c:pt>
                <c:pt idx="10">
                  <c:v>0.3</c:v>
                </c:pt>
                <c:pt idx="11">
                  <c:v>0.2</c:v>
                </c:pt>
                <c:pt idx="12">
                  <c:v>0.3</c:v>
                </c:pt>
                <c:pt idx="13">
                  <c:v>0.2</c:v>
                </c:pt>
                <c:pt idx="14">
                  <c:v>0.2</c:v>
                </c:pt>
                <c:pt idx="15">
                  <c:v>0.3</c:v>
                </c:pt>
                <c:pt idx="16">
                  <c:v>0.3</c:v>
                </c:pt>
                <c:pt idx="17">
                  <c:v>0.3</c:v>
                </c:pt>
                <c:pt idx="18">
                  <c:v>0.3</c:v>
                </c:pt>
                <c:pt idx="19">
                  <c:v>1</c:v>
                </c:pt>
                <c:pt idx="20">
                  <c:v>0.2</c:v>
                </c:pt>
                <c:pt idx="21">
                  <c:v>0.3</c:v>
                </c:pt>
                <c:pt idx="22">
                  <c:v>0.9</c:v>
                </c:pt>
                <c:pt idx="23">
                  <c:v>0.3</c:v>
                </c:pt>
                <c:pt idx="24">
                  <c:v>0.4</c:v>
                </c:pt>
                <c:pt idx="25">
                  <c:v>1</c:v>
                </c:pt>
                <c:pt idx="26">
                  <c:v>0.2</c:v>
                </c:pt>
                <c:pt idx="27">
                  <c:v>0.2</c:v>
                </c:pt>
                <c:pt idx="28">
                  <c:v>0.9</c:v>
                </c:pt>
                <c:pt idx="29">
                  <c:v>0.6</c:v>
                </c:pt>
                <c:pt idx="30">
                  <c:v>0.9</c:v>
                </c:pt>
                <c:pt idx="31">
                  <c:v>0.2</c:v>
                </c:pt>
                <c:pt idx="32">
                  <c:v>0.9</c:v>
                </c:pt>
                <c:pt idx="33">
                  <c:v>0.4</c:v>
                </c:pt>
                <c:pt idx="34">
                  <c:v>0.9</c:v>
                </c:pt>
                <c:pt idx="35">
                  <c:v>0.3</c:v>
                </c:pt>
                <c:pt idx="36">
                  <c:v>0.4</c:v>
                </c:pt>
                <c:pt idx="37">
                  <c:v>0.9</c:v>
                </c:pt>
                <c:pt idx="38">
                  <c:v>0.6</c:v>
                </c:pt>
                <c:pt idx="39">
                  <c:v>0.2</c:v>
                </c:pt>
                <c:pt idx="40">
                  <c:v>0.9</c:v>
                </c:pt>
                <c:pt idx="41">
                  <c:v>0.4</c:v>
                </c:pt>
                <c:pt idx="42">
                  <c:v>0.9</c:v>
                </c:pt>
                <c:pt idx="43">
                  <c:v>1</c:v>
                </c:pt>
                <c:pt idx="44">
                  <c:v>0.9</c:v>
                </c:pt>
                <c:pt idx="45">
                  <c:v>0.2</c:v>
                </c:pt>
                <c:pt idx="46">
                  <c:v>0.9</c:v>
                </c:pt>
                <c:pt idx="47">
                  <c:v>0.4</c:v>
                </c:pt>
                <c:pt idx="48">
                  <c:v>1</c:v>
                </c:pt>
                <c:pt idx="49">
                  <c:v>0.6</c:v>
                </c:pt>
              </c:numCache>
            </c:numRef>
          </c:val>
          <c:smooth val="0"/>
          <c:extLst>
            <c:ext xmlns:c16="http://schemas.microsoft.com/office/drawing/2014/chart" uri="{C3380CC4-5D6E-409C-BE32-E72D297353CC}">
              <c16:uniqueId val="{00000003-22B5-4D7F-93EA-69595BF1130B}"/>
            </c:ext>
          </c:extLst>
        </c:ser>
        <c:ser>
          <c:idx val="2"/>
          <c:order val="2"/>
          <c:tx>
            <c:v>llama31_8b</c:v>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llama31_8b!$C$2:$C$51</c:f>
              <c:numCache>
                <c:formatCode>General</c:formatCode>
                <c:ptCount val="50"/>
                <c:pt idx="0">
                  <c:v>1</c:v>
                </c:pt>
                <c:pt idx="1">
                  <c:v>1</c:v>
                </c:pt>
                <c:pt idx="2">
                  <c:v>0.9</c:v>
                </c:pt>
                <c:pt idx="3">
                  <c:v>1</c:v>
                </c:pt>
                <c:pt idx="4">
                  <c:v>1</c:v>
                </c:pt>
                <c:pt idx="5">
                  <c:v>0.3</c:v>
                </c:pt>
                <c:pt idx="6">
                  <c:v>0.3</c:v>
                </c:pt>
                <c:pt idx="7">
                  <c:v>0.7</c:v>
                </c:pt>
                <c:pt idx="8">
                  <c:v>0.9</c:v>
                </c:pt>
                <c:pt idx="9">
                  <c:v>0.2</c:v>
                </c:pt>
                <c:pt idx="10">
                  <c:v>0.2</c:v>
                </c:pt>
                <c:pt idx="11">
                  <c:v>0.3</c:v>
                </c:pt>
                <c:pt idx="12">
                  <c:v>0.2</c:v>
                </c:pt>
                <c:pt idx="13">
                  <c:v>0.2</c:v>
                </c:pt>
                <c:pt idx="14">
                  <c:v>0.9</c:v>
                </c:pt>
                <c:pt idx="15">
                  <c:v>0.3</c:v>
                </c:pt>
                <c:pt idx="16">
                  <c:v>0.3</c:v>
                </c:pt>
                <c:pt idx="17">
                  <c:v>0.3</c:v>
                </c:pt>
                <c:pt idx="18">
                  <c:v>0.2</c:v>
                </c:pt>
                <c:pt idx="19">
                  <c:v>1</c:v>
                </c:pt>
                <c:pt idx="20">
                  <c:v>0.8</c:v>
                </c:pt>
                <c:pt idx="21">
                  <c:v>0.3</c:v>
                </c:pt>
                <c:pt idx="22">
                  <c:v>1</c:v>
                </c:pt>
                <c:pt idx="23">
                  <c:v>0.3</c:v>
                </c:pt>
                <c:pt idx="24">
                  <c:v>0.2</c:v>
                </c:pt>
                <c:pt idx="25">
                  <c:v>0.3</c:v>
                </c:pt>
                <c:pt idx="26">
                  <c:v>0.9</c:v>
                </c:pt>
                <c:pt idx="27">
                  <c:v>0.2</c:v>
                </c:pt>
                <c:pt idx="28">
                  <c:v>0.4</c:v>
                </c:pt>
                <c:pt idx="29">
                  <c:v>1</c:v>
                </c:pt>
                <c:pt idx="30">
                  <c:v>0.9</c:v>
                </c:pt>
                <c:pt idx="31">
                  <c:v>1</c:v>
                </c:pt>
                <c:pt idx="32">
                  <c:v>1</c:v>
                </c:pt>
                <c:pt idx="33">
                  <c:v>0.2</c:v>
                </c:pt>
                <c:pt idx="34">
                  <c:v>0.1</c:v>
                </c:pt>
                <c:pt idx="35">
                  <c:v>0.3</c:v>
                </c:pt>
                <c:pt idx="36">
                  <c:v>0.3</c:v>
                </c:pt>
                <c:pt idx="37">
                  <c:v>1</c:v>
                </c:pt>
                <c:pt idx="38">
                  <c:v>1</c:v>
                </c:pt>
                <c:pt idx="39">
                  <c:v>0.9</c:v>
                </c:pt>
                <c:pt idx="40">
                  <c:v>0.8</c:v>
                </c:pt>
                <c:pt idx="41">
                  <c:v>0.2</c:v>
                </c:pt>
                <c:pt idx="42">
                  <c:v>1</c:v>
                </c:pt>
                <c:pt idx="43">
                  <c:v>1</c:v>
                </c:pt>
                <c:pt idx="44">
                  <c:v>0.6</c:v>
                </c:pt>
                <c:pt idx="45">
                  <c:v>0.6</c:v>
                </c:pt>
                <c:pt idx="46">
                  <c:v>0.6</c:v>
                </c:pt>
                <c:pt idx="47">
                  <c:v>0.3</c:v>
                </c:pt>
                <c:pt idx="48">
                  <c:v>1</c:v>
                </c:pt>
                <c:pt idx="49">
                  <c:v>0.6</c:v>
                </c:pt>
              </c:numCache>
            </c:numRef>
          </c:val>
          <c:smooth val="0"/>
          <c:extLst>
            <c:ext xmlns:c16="http://schemas.microsoft.com/office/drawing/2014/chart" uri="{C3380CC4-5D6E-409C-BE32-E72D297353CC}">
              <c16:uniqueId val="{00000005-22B5-4D7F-93EA-69595BF1130B}"/>
            </c:ext>
          </c:extLst>
        </c:ser>
        <c:ser>
          <c:idx val="3"/>
          <c:order val="3"/>
          <c:tx>
            <c:v>mistral_7b</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val>
            <c:numRef>
              <c:f>mistral_7b!$C$2:$C$51</c:f>
              <c:numCache>
                <c:formatCode>General</c:formatCode>
                <c:ptCount val="50"/>
                <c:pt idx="0">
                  <c:v>0.9</c:v>
                </c:pt>
                <c:pt idx="1">
                  <c:v>1</c:v>
                </c:pt>
                <c:pt idx="2">
                  <c:v>1</c:v>
                </c:pt>
                <c:pt idx="3">
                  <c:v>1</c:v>
                </c:pt>
                <c:pt idx="4">
                  <c:v>1</c:v>
                </c:pt>
                <c:pt idx="5">
                  <c:v>1</c:v>
                </c:pt>
                <c:pt idx="6">
                  <c:v>0.9</c:v>
                </c:pt>
                <c:pt idx="7">
                  <c:v>0.9</c:v>
                </c:pt>
                <c:pt idx="8">
                  <c:v>0.9</c:v>
                </c:pt>
                <c:pt idx="9">
                  <c:v>0.2</c:v>
                </c:pt>
                <c:pt idx="10">
                  <c:v>1</c:v>
                </c:pt>
                <c:pt idx="11">
                  <c:v>0.4</c:v>
                </c:pt>
                <c:pt idx="12">
                  <c:v>0.3</c:v>
                </c:pt>
                <c:pt idx="13">
                  <c:v>0.3</c:v>
                </c:pt>
                <c:pt idx="14">
                  <c:v>1</c:v>
                </c:pt>
                <c:pt idx="15">
                  <c:v>0.3</c:v>
                </c:pt>
                <c:pt idx="16">
                  <c:v>0.3</c:v>
                </c:pt>
                <c:pt idx="17">
                  <c:v>0.3</c:v>
                </c:pt>
                <c:pt idx="18">
                  <c:v>0.2</c:v>
                </c:pt>
                <c:pt idx="19">
                  <c:v>0.2</c:v>
                </c:pt>
                <c:pt idx="20">
                  <c:v>0.3</c:v>
                </c:pt>
                <c:pt idx="21">
                  <c:v>0.3</c:v>
                </c:pt>
                <c:pt idx="22">
                  <c:v>0.3</c:v>
                </c:pt>
                <c:pt idx="23">
                  <c:v>0.3</c:v>
                </c:pt>
                <c:pt idx="24">
                  <c:v>0.3</c:v>
                </c:pt>
                <c:pt idx="25">
                  <c:v>0.3</c:v>
                </c:pt>
                <c:pt idx="26">
                  <c:v>0.3</c:v>
                </c:pt>
                <c:pt idx="27">
                  <c:v>0.9</c:v>
                </c:pt>
                <c:pt idx="28">
                  <c:v>0.3</c:v>
                </c:pt>
                <c:pt idx="29">
                  <c:v>0.2</c:v>
                </c:pt>
                <c:pt idx="30">
                  <c:v>0.2</c:v>
                </c:pt>
                <c:pt idx="31">
                  <c:v>0.9</c:v>
                </c:pt>
                <c:pt idx="32">
                  <c:v>0.9</c:v>
                </c:pt>
                <c:pt idx="33">
                  <c:v>0.3</c:v>
                </c:pt>
                <c:pt idx="34">
                  <c:v>0.2</c:v>
                </c:pt>
                <c:pt idx="35">
                  <c:v>0.3</c:v>
                </c:pt>
                <c:pt idx="36">
                  <c:v>0.2</c:v>
                </c:pt>
                <c:pt idx="37">
                  <c:v>0.2</c:v>
                </c:pt>
                <c:pt idx="38">
                  <c:v>1</c:v>
                </c:pt>
                <c:pt idx="39">
                  <c:v>0.2</c:v>
                </c:pt>
                <c:pt idx="40">
                  <c:v>0.4</c:v>
                </c:pt>
                <c:pt idx="41">
                  <c:v>0.2</c:v>
                </c:pt>
                <c:pt idx="42">
                  <c:v>0.3</c:v>
                </c:pt>
                <c:pt idx="43">
                  <c:v>1</c:v>
                </c:pt>
                <c:pt idx="44">
                  <c:v>0.3</c:v>
                </c:pt>
                <c:pt idx="45">
                  <c:v>0.3</c:v>
                </c:pt>
                <c:pt idx="46">
                  <c:v>0.2</c:v>
                </c:pt>
                <c:pt idx="47">
                  <c:v>0.2</c:v>
                </c:pt>
                <c:pt idx="48">
                  <c:v>0.2</c:v>
                </c:pt>
                <c:pt idx="49">
                  <c:v>0.2</c:v>
                </c:pt>
              </c:numCache>
            </c:numRef>
          </c:val>
          <c:smooth val="0"/>
          <c:extLst>
            <c:ext xmlns:c16="http://schemas.microsoft.com/office/drawing/2014/chart" uri="{C3380CC4-5D6E-409C-BE32-E72D297353CC}">
              <c16:uniqueId val="{00000006-22B5-4D7F-93EA-69595BF1130B}"/>
            </c:ext>
          </c:extLst>
        </c:ser>
        <c:ser>
          <c:idx val="4"/>
          <c:order val="4"/>
          <c:tx>
            <c:v>deepseek_r1_8b</c:v>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val>
            <c:numRef>
              <c:f>deepseek_R1_8b!$C$2:$C$51</c:f>
              <c:numCache>
                <c:formatCode>General</c:formatCode>
                <c:ptCount val="50"/>
                <c:pt idx="0">
                  <c:v>1</c:v>
                </c:pt>
                <c:pt idx="1">
                  <c:v>1</c:v>
                </c:pt>
                <c:pt idx="2">
                  <c:v>1</c:v>
                </c:pt>
                <c:pt idx="3">
                  <c:v>1</c:v>
                </c:pt>
                <c:pt idx="4">
                  <c:v>1</c:v>
                </c:pt>
                <c:pt idx="5">
                  <c:v>1</c:v>
                </c:pt>
                <c:pt idx="6">
                  <c:v>1</c:v>
                </c:pt>
                <c:pt idx="7">
                  <c:v>0.9</c:v>
                </c:pt>
                <c:pt idx="8">
                  <c:v>1</c:v>
                </c:pt>
                <c:pt idx="9">
                  <c:v>1</c:v>
                </c:pt>
                <c:pt idx="10">
                  <c:v>1</c:v>
                </c:pt>
                <c:pt idx="11">
                  <c:v>0.3</c:v>
                </c:pt>
                <c:pt idx="12">
                  <c:v>0.3</c:v>
                </c:pt>
                <c:pt idx="13">
                  <c:v>1</c:v>
                </c:pt>
                <c:pt idx="14">
                  <c:v>0.9</c:v>
                </c:pt>
                <c:pt idx="15">
                  <c:v>0.3</c:v>
                </c:pt>
                <c:pt idx="16">
                  <c:v>0.3</c:v>
                </c:pt>
                <c:pt idx="17">
                  <c:v>0.3</c:v>
                </c:pt>
                <c:pt idx="18">
                  <c:v>0.4</c:v>
                </c:pt>
                <c:pt idx="19">
                  <c:v>1</c:v>
                </c:pt>
                <c:pt idx="20">
                  <c:v>0.7</c:v>
                </c:pt>
                <c:pt idx="21">
                  <c:v>0.3</c:v>
                </c:pt>
                <c:pt idx="22">
                  <c:v>0.4</c:v>
                </c:pt>
                <c:pt idx="23">
                  <c:v>0.3</c:v>
                </c:pt>
                <c:pt idx="24">
                  <c:v>1</c:v>
                </c:pt>
                <c:pt idx="25">
                  <c:v>1</c:v>
                </c:pt>
                <c:pt idx="26">
                  <c:v>0.3</c:v>
                </c:pt>
                <c:pt idx="27">
                  <c:v>1</c:v>
                </c:pt>
                <c:pt idx="28">
                  <c:v>0.9</c:v>
                </c:pt>
                <c:pt idx="29">
                  <c:v>1</c:v>
                </c:pt>
                <c:pt idx="30">
                  <c:v>1</c:v>
                </c:pt>
                <c:pt idx="31">
                  <c:v>0.3</c:v>
                </c:pt>
                <c:pt idx="32">
                  <c:v>1</c:v>
                </c:pt>
                <c:pt idx="33">
                  <c:v>0.4</c:v>
                </c:pt>
                <c:pt idx="34">
                  <c:v>1</c:v>
                </c:pt>
                <c:pt idx="35">
                  <c:v>1</c:v>
                </c:pt>
                <c:pt idx="36">
                  <c:v>0.8</c:v>
                </c:pt>
                <c:pt idx="37">
                  <c:v>1</c:v>
                </c:pt>
                <c:pt idx="38">
                  <c:v>0.3</c:v>
                </c:pt>
                <c:pt idx="39">
                  <c:v>1</c:v>
                </c:pt>
                <c:pt idx="40">
                  <c:v>0.6</c:v>
                </c:pt>
                <c:pt idx="41">
                  <c:v>1</c:v>
                </c:pt>
                <c:pt idx="42">
                  <c:v>0.4</c:v>
                </c:pt>
                <c:pt idx="43">
                  <c:v>1</c:v>
                </c:pt>
                <c:pt idx="44">
                  <c:v>1</c:v>
                </c:pt>
                <c:pt idx="45">
                  <c:v>0.4</c:v>
                </c:pt>
                <c:pt idx="46">
                  <c:v>0.9</c:v>
                </c:pt>
                <c:pt idx="47">
                  <c:v>1</c:v>
                </c:pt>
                <c:pt idx="48">
                  <c:v>1</c:v>
                </c:pt>
                <c:pt idx="49">
                  <c:v>0.6</c:v>
                </c:pt>
              </c:numCache>
            </c:numRef>
          </c:val>
          <c:smooth val="0"/>
          <c:extLst>
            <c:ext xmlns:c16="http://schemas.microsoft.com/office/drawing/2014/chart" uri="{C3380CC4-5D6E-409C-BE32-E72D297353CC}">
              <c16:uniqueId val="{00000007-22B5-4D7F-93EA-69595BF1130B}"/>
            </c:ext>
          </c:extLst>
        </c:ser>
        <c:dLbls>
          <c:showLegendKey val="0"/>
          <c:showVal val="0"/>
          <c:showCatName val="0"/>
          <c:showSerName val="0"/>
          <c:showPercent val="0"/>
          <c:showBubbleSize val="0"/>
        </c:dLbls>
        <c:marker val="1"/>
        <c:smooth val="0"/>
        <c:axId val="630272591"/>
        <c:axId val="630273551"/>
      </c:lineChart>
      <c:catAx>
        <c:axId val="63027259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0273551"/>
        <c:crosses val="autoZero"/>
        <c:auto val="1"/>
        <c:lblAlgn val="ctr"/>
        <c:lblOffset val="100"/>
        <c:noMultiLvlLbl val="0"/>
      </c:catAx>
      <c:valAx>
        <c:axId val="630273551"/>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Calificación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027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Tendendencia</a:t>
            </a:r>
            <a:r>
              <a:rPr lang="es-CO" baseline="0"/>
              <a:t> de los modelos grandes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v>llama33_70b</c:v>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llama33_70b!$C$2:$C$51</c:f>
              <c:numCache>
                <c:formatCode>General</c:formatCode>
                <c:ptCount val="50"/>
                <c:pt idx="0">
                  <c:v>0.9</c:v>
                </c:pt>
                <c:pt idx="1">
                  <c:v>1</c:v>
                </c:pt>
                <c:pt idx="2">
                  <c:v>1</c:v>
                </c:pt>
                <c:pt idx="3">
                  <c:v>1</c:v>
                </c:pt>
                <c:pt idx="4">
                  <c:v>1</c:v>
                </c:pt>
                <c:pt idx="5">
                  <c:v>1</c:v>
                </c:pt>
                <c:pt idx="6">
                  <c:v>1</c:v>
                </c:pt>
                <c:pt idx="7">
                  <c:v>1</c:v>
                </c:pt>
                <c:pt idx="8">
                  <c:v>0.9</c:v>
                </c:pt>
                <c:pt idx="9">
                  <c:v>0.2</c:v>
                </c:pt>
                <c:pt idx="10">
                  <c:v>1</c:v>
                </c:pt>
                <c:pt idx="11">
                  <c:v>0.9</c:v>
                </c:pt>
                <c:pt idx="12">
                  <c:v>0.9</c:v>
                </c:pt>
                <c:pt idx="13">
                  <c:v>0.9</c:v>
                </c:pt>
                <c:pt idx="14">
                  <c:v>1</c:v>
                </c:pt>
                <c:pt idx="15">
                  <c:v>0.9</c:v>
                </c:pt>
                <c:pt idx="16">
                  <c:v>0.2</c:v>
                </c:pt>
                <c:pt idx="17">
                  <c:v>0.9</c:v>
                </c:pt>
                <c:pt idx="18">
                  <c:v>1</c:v>
                </c:pt>
                <c:pt idx="19">
                  <c:v>1</c:v>
                </c:pt>
                <c:pt idx="20">
                  <c:v>0.9</c:v>
                </c:pt>
                <c:pt idx="21">
                  <c:v>0.6</c:v>
                </c:pt>
                <c:pt idx="22">
                  <c:v>1</c:v>
                </c:pt>
                <c:pt idx="23">
                  <c:v>1</c:v>
                </c:pt>
                <c:pt idx="24">
                  <c:v>1</c:v>
                </c:pt>
                <c:pt idx="25">
                  <c:v>1</c:v>
                </c:pt>
                <c:pt idx="26">
                  <c:v>1</c:v>
                </c:pt>
                <c:pt idx="27">
                  <c:v>0.8</c:v>
                </c:pt>
                <c:pt idx="28">
                  <c:v>0.8</c:v>
                </c:pt>
                <c:pt idx="29">
                  <c:v>1</c:v>
                </c:pt>
                <c:pt idx="30">
                  <c:v>0.9</c:v>
                </c:pt>
                <c:pt idx="31">
                  <c:v>1</c:v>
                </c:pt>
                <c:pt idx="32">
                  <c:v>0.9</c:v>
                </c:pt>
                <c:pt idx="33">
                  <c:v>1</c:v>
                </c:pt>
                <c:pt idx="34">
                  <c:v>0.9</c:v>
                </c:pt>
                <c:pt idx="35">
                  <c:v>0.9</c:v>
                </c:pt>
                <c:pt idx="36">
                  <c:v>0.6</c:v>
                </c:pt>
                <c:pt idx="37">
                  <c:v>0.4</c:v>
                </c:pt>
                <c:pt idx="38">
                  <c:v>1</c:v>
                </c:pt>
                <c:pt idx="39">
                  <c:v>1</c:v>
                </c:pt>
                <c:pt idx="40">
                  <c:v>1</c:v>
                </c:pt>
                <c:pt idx="41">
                  <c:v>1</c:v>
                </c:pt>
                <c:pt idx="42">
                  <c:v>1</c:v>
                </c:pt>
                <c:pt idx="43">
                  <c:v>1</c:v>
                </c:pt>
                <c:pt idx="44">
                  <c:v>0.6</c:v>
                </c:pt>
                <c:pt idx="45">
                  <c:v>1</c:v>
                </c:pt>
                <c:pt idx="46">
                  <c:v>0.6</c:v>
                </c:pt>
                <c:pt idx="47">
                  <c:v>0.4</c:v>
                </c:pt>
                <c:pt idx="48">
                  <c:v>1</c:v>
                </c:pt>
                <c:pt idx="49">
                  <c:v>0.6</c:v>
                </c:pt>
              </c:numCache>
            </c:numRef>
          </c:val>
          <c:smooth val="0"/>
          <c:extLst>
            <c:ext xmlns:c16="http://schemas.microsoft.com/office/drawing/2014/chart" uri="{C3380CC4-5D6E-409C-BE32-E72D297353CC}">
              <c16:uniqueId val="{00000005-9D8D-482E-BE0B-0E57CFEE345C}"/>
            </c:ext>
          </c:extLst>
        </c:ser>
        <c:ser>
          <c:idx val="1"/>
          <c:order val="1"/>
          <c:tx>
            <c:v>qwen3_coder_35b_480b</c:v>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qwen3_coder_35b_480b!$C$2:$C$51</c:f>
              <c:numCache>
                <c:formatCode>General</c:formatCode>
                <c:ptCount val="50"/>
                <c:pt idx="0">
                  <c:v>1</c:v>
                </c:pt>
                <c:pt idx="1">
                  <c:v>0.9</c:v>
                </c:pt>
                <c:pt idx="2">
                  <c:v>1</c:v>
                </c:pt>
                <c:pt idx="3">
                  <c:v>1</c:v>
                </c:pt>
                <c:pt idx="4">
                  <c:v>0.9</c:v>
                </c:pt>
                <c:pt idx="5">
                  <c:v>0.3</c:v>
                </c:pt>
                <c:pt idx="6">
                  <c:v>0.3</c:v>
                </c:pt>
                <c:pt idx="7">
                  <c:v>0.3</c:v>
                </c:pt>
                <c:pt idx="8">
                  <c:v>1</c:v>
                </c:pt>
                <c:pt idx="9">
                  <c:v>1</c:v>
                </c:pt>
                <c:pt idx="10">
                  <c:v>1</c:v>
                </c:pt>
                <c:pt idx="11">
                  <c:v>1</c:v>
                </c:pt>
                <c:pt idx="12">
                  <c:v>1</c:v>
                </c:pt>
                <c:pt idx="13">
                  <c:v>0.9</c:v>
                </c:pt>
                <c:pt idx="14">
                  <c:v>1</c:v>
                </c:pt>
                <c:pt idx="15">
                  <c:v>0.8</c:v>
                </c:pt>
                <c:pt idx="16">
                  <c:v>0.9</c:v>
                </c:pt>
                <c:pt idx="17">
                  <c:v>0.3</c:v>
                </c:pt>
                <c:pt idx="18">
                  <c:v>1</c:v>
                </c:pt>
                <c:pt idx="19">
                  <c:v>1</c:v>
                </c:pt>
                <c:pt idx="20">
                  <c:v>0.9</c:v>
                </c:pt>
                <c:pt idx="21">
                  <c:v>0.9</c:v>
                </c:pt>
                <c:pt idx="22">
                  <c:v>1</c:v>
                </c:pt>
                <c:pt idx="23">
                  <c:v>1</c:v>
                </c:pt>
                <c:pt idx="24">
                  <c:v>1</c:v>
                </c:pt>
                <c:pt idx="25">
                  <c:v>1</c:v>
                </c:pt>
                <c:pt idx="26">
                  <c:v>1</c:v>
                </c:pt>
                <c:pt idx="27">
                  <c:v>1</c:v>
                </c:pt>
                <c:pt idx="28">
                  <c:v>1</c:v>
                </c:pt>
                <c:pt idx="29">
                  <c:v>1</c:v>
                </c:pt>
                <c:pt idx="30">
                  <c:v>1</c:v>
                </c:pt>
                <c:pt idx="31">
                  <c:v>0.3</c:v>
                </c:pt>
                <c:pt idx="32">
                  <c:v>1</c:v>
                </c:pt>
                <c:pt idx="33">
                  <c:v>1</c:v>
                </c:pt>
                <c:pt idx="34">
                  <c:v>1</c:v>
                </c:pt>
                <c:pt idx="35">
                  <c:v>0.9</c:v>
                </c:pt>
                <c:pt idx="36">
                  <c:v>0.3</c:v>
                </c:pt>
                <c:pt idx="37">
                  <c:v>1</c:v>
                </c:pt>
                <c:pt idx="38">
                  <c:v>1</c:v>
                </c:pt>
                <c:pt idx="39">
                  <c:v>0.9</c:v>
                </c:pt>
                <c:pt idx="40">
                  <c:v>1</c:v>
                </c:pt>
                <c:pt idx="41">
                  <c:v>1</c:v>
                </c:pt>
                <c:pt idx="42">
                  <c:v>0.3</c:v>
                </c:pt>
                <c:pt idx="43">
                  <c:v>1</c:v>
                </c:pt>
                <c:pt idx="44">
                  <c:v>1</c:v>
                </c:pt>
                <c:pt idx="45">
                  <c:v>0.8</c:v>
                </c:pt>
                <c:pt idx="46">
                  <c:v>0.3</c:v>
                </c:pt>
                <c:pt idx="47">
                  <c:v>0.8</c:v>
                </c:pt>
                <c:pt idx="48">
                  <c:v>1</c:v>
                </c:pt>
                <c:pt idx="49">
                  <c:v>0.6</c:v>
                </c:pt>
              </c:numCache>
            </c:numRef>
          </c:val>
          <c:smooth val="0"/>
          <c:extLst>
            <c:ext xmlns:c16="http://schemas.microsoft.com/office/drawing/2014/chart" uri="{C3380CC4-5D6E-409C-BE32-E72D297353CC}">
              <c16:uniqueId val="{00000007-9D8D-482E-BE0B-0E57CFEE345C}"/>
            </c:ext>
          </c:extLst>
        </c:ser>
        <c:ser>
          <c:idx val="2"/>
          <c:order val="2"/>
          <c:tx>
            <c:v>deepseek_r1t2_chimera_671b</c:v>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deepseek_r1t2_chimera_671b!$C$2:$C$51</c:f>
              <c:numCache>
                <c:formatCode>General</c:formatCode>
                <c:ptCount val="50"/>
                <c:pt idx="0">
                  <c:v>0.9</c:v>
                </c:pt>
                <c:pt idx="1">
                  <c:v>1</c:v>
                </c:pt>
                <c:pt idx="2">
                  <c:v>1</c:v>
                </c:pt>
                <c:pt idx="3">
                  <c:v>1</c:v>
                </c:pt>
                <c:pt idx="4">
                  <c:v>1</c:v>
                </c:pt>
                <c:pt idx="5">
                  <c:v>1</c:v>
                </c:pt>
                <c:pt idx="6">
                  <c:v>1</c:v>
                </c:pt>
                <c:pt idx="7">
                  <c:v>1</c:v>
                </c:pt>
                <c:pt idx="8">
                  <c:v>0.8</c:v>
                </c:pt>
                <c:pt idx="9">
                  <c:v>1</c:v>
                </c:pt>
                <c:pt idx="10">
                  <c:v>0.9</c:v>
                </c:pt>
                <c:pt idx="11">
                  <c:v>1</c:v>
                </c:pt>
                <c:pt idx="12">
                  <c:v>1</c:v>
                </c:pt>
                <c:pt idx="13">
                  <c:v>1</c:v>
                </c:pt>
                <c:pt idx="14">
                  <c:v>1</c:v>
                </c:pt>
                <c:pt idx="15">
                  <c:v>1</c:v>
                </c:pt>
                <c:pt idx="16">
                  <c:v>0.4</c:v>
                </c:pt>
                <c:pt idx="17">
                  <c:v>0.3</c:v>
                </c:pt>
                <c:pt idx="18">
                  <c:v>0.2</c:v>
                </c:pt>
                <c:pt idx="19">
                  <c:v>1</c:v>
                </c:pt>
                <c:pt idx="20">
                  <c:v>1</c:v>
                </c:pt>
                <c:pt idx="21">
                  <c:v>0.9</c:v>
                </c:pt>
                <c:pt idx="22">
                  <c:v>1</c:v>
                </c:pt>
                <c:pt idx="23">
                  <c:v>1</c:v>
                </c:pt>
                <c:pt idx="24">
                  <c:v>0.9</c:v>
                </c:pt>
                <c:pt idx="25">
                  <c:v>0.9</c:v>
                </c:pt>
                <c:pt idx="26">
                  <c:v>1</c:v>
                </c:pt>
                <c:pt idx="27">
                  <c:v>1</c:v>
                </c:pt>
                <c:pt idx="28">
                  <c:v>1</c:v>
                </c:pt>
                <c:pt idx="29">
                  <c:v>1</c:v>
                </c:pt>
                <c:pt idx="30">
                  <c:v>1</c:v>
                </c:pt>
                <c:pt idx="31">
                  <c:v>1</c:v>
                </c:pt>
                <c:pt idx="32">
                  <c:v>0.9</c:v>
                </c:pt>
                <c:pt idx="33">
                  <c:v>0.3</c:v>
                </c:pt>
                <c:pt idx="34">
                  <c:v>1</c:v>
                </c:pt>
                <c:pt idx="35">
                  <c:v>1</c:v>
                </c:pt>
                <c:pt idx="36">
                  <c:v>1</c:v>
                </c:pt>
                <c:pt idx="37">
                  <c:v>1</c:v>
                </c:pt>
                <c:pt idx="38">
                  <c:v>1</c:v>
                </c:pt>
                <c:pt idx="39">
                  <c:v>1</c:v>
                </c:pt>
                <c:pt idx="40">
                  <c:v>1</c:v>
                </c:pt>
                <c:pt idx="41">
                  <c:v>1</c:v>
                </c:pt>
                <c:pt idx="42">
                  <c:v>1</c:v>
                </c:pt>
                <c:pt idx="43">
                  <c:v>1</c:v>
                </c:pt>
                <c:pt idx="44">
                  <c:v>1</c:v>
                </c:pt>
                <c:pt idx="45">
                  <c:v>1</c:v>
                </c:pt>
                <c:pt idx="46">
                  <c:v>0.7</c:v>
                </c:pt>
                <c:pt idx="47">
                  <c:v>0.9</c:v>
                </c:pt>
                <c:pt idx="48">
                  <c:v>1</c:v>
                </c:pt>
                <c:pt idx="49">
                  <c:v>0.6</c:v>
                </c:pt>
              </c:numCache>
            </c:numRef>
          </c:val>
          <c:smooth val="0"/>
          <c:extLst>
            <c:ext xmlns:c16="http://schemas.microsoft.com/office/drawing/2014/chart" uri="{C3380CC4-5D6E-409C-BE32-E72D297353CC}">
              <c16:uniqueId val="{00000008-9D8D-482E-BE0B-0E57CFEE345C}"/>
            </c:ext>
          </c:extLst>
        </c:ser>
        <c:ser>
          <c:idx val="3"/>
          <c:order val="3"/>
          <c:tx>
            <c:v>Xiaomi_mimoV2_flash_15b_309b</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val>
            <c:numRef>
              <c:f>Xiaomi_mimoV2_flash_15b_309b!$C$2:$C$51</c:f>
              <c:numCache>
                <c:formatCode>General</c:formatCode>
                <c:ptCount val="50"/>
                <c:pt idx="0">
                  <c:v>1</c:v>
                </c:pt>
                <c:pt idx="1">
                  <c:v>1</c:v>
                </c:pt>
                <c:pt idx="2">
                  <c:v>0.9</c:v>
                </c:pt>
                <c:pt idx="3">
                  <c:v>1</c:v>
                </c:pt>
                <c:pt idx="4">
                  <c:v>1</c:v>
                </c:pt>
                <c:pt idx="5">
                  <c:v>1</c:v>
                </c:pt>
                <c:pt idx="6">
                  <c:v>0.9</c:v>
                </c:pt>
                <c:pt idx="7">
                  <c:v>0.9</c:v>
                </c:pt>
                <c:pt idx="8">
                  <c:v>1</c:v>
                </c:pt>
                <c:pt idx="9">
                  <c:v>0.2</c:v>
                </c:pt>
                <c:pt idx="10">
                  <c:v>1</c:v>
                </c:pt>
                <c:pt idx="11">
                  <c:v>1</c:v>
                </c:pt>
                <c:pt idx="12">
                  <c:v>0.3</c:v>
                </c:pt>
                <c:pt idx="13">
                  <c:v>1</c:v>
                </c:pt>
                <c:pt idx="14">
                  <c:v>0.9</c:v>
                </c:pt>
                <c:pt idx="15">
                  <c:v>0.8</c:v>
                </c:pt>
                <c:pt idx="16">
                  <c:v>0.7</c:v>
                </c:pt>
                <c:pt idx="17">
                  <c:v>0.8</c:v>
                </c:pt>
                <c:pt idx="18">
                  <c:v>1</c:v>
                </c:pt>
                <c:pt idx="19">
                  <c:v>1</c:v>
                </c:pt>
                <c:pt idx="20">
                  <c:v>0.9</c:v>
                </c:pt>
                <c:pt idx="21">
                  <c:v>1</c:v>
                </c:pt>
                <c:pt idx="22">
                  <c:v>1</c:v>
                </c:pt>
                <c:pt idx="23">
                  <c:v>0.4</c:v>
                </c:pt>
                <c:pt idx="24">
                  <c:v>1</c:v>
                </c:pt>
                <c:pt idx="25">
                  <c:v>1</c:v>
                </c:pt>
                <c:pt idx="26">
                  <c:v>0.9</c:v>
                </c:pt>
                <c:pt idx="27">
                  <c:v>1</c:v>
                </c:pt>
                <c:pt idx="28">
                  <c:v>1</c:v>
                </c:pt>
                <c:pt idx="29">
                  <c:v>0.6</c:v>
                </c:pt>
                <c:pt idx="30">
                  <c:v>1</c:v>
                </c:pt>
                <c:pt idx="31">
                  <c:v>1</c:v>
                </c:pt>
                <c:pt idx="32">
                  <c:v>1</c:v>
                </c:pt>
                <c:pt idx="33">
                  <c:v>1</c:v>
                </c:pt>
                <c:pt idx="34">
                  <c:v>1</c:v>
                </c:pt>
                <c:pt idx="35">
                  <c:v>0.8</c:v>
                </c:pt>
                <c:pt idx="36">
                  <c:v>0.9</c:v>
                </c:pt>
                <c:pt idx="37">
                  <c:v>1</c:v>
                </c:pt>
                <c:pt idx="38">
                  <c:v>0.9</c:v>
                </c:pt>
                <c:pt idx="39">
                  <c:v>0.9</c:v>
                </c:pt>
                <c:pt idx="40">
                  <c:v>1</c:v>
                </c:pt>
                <c:pt idx="41">
                  <c:v>1</c:v>
                </c:pt>
                <c:pt idx="42">
                  <c:v>1</c:v>
                </c:pt>
                <c:pt idx="43">
                  <c:v>1</c:v>
                </c:pt>
                <c:pt idx="44">
                  <c:v>1</c:v>
                </c:pt>
                <c:pt idx="45">
                  <c:v>1</c:v>
                </c:pt>
                <c:pt idx="46">
                  <c:v>0.7</c:v>
                </c:pt>
                <c:pt idx="47">
                  <c:v>0.7</c:v>
                </c:pt>
                <c:pt idx="48">
                  <c:v>1</c:v>
                </c:pt>
                <c:pt idx="49">
                  <c:v>1</c:v>
                </c:pt>
              </c:numCache>
            </c:numRef>
          </c:val>
          <c:smooth val="0"/>
          <c:extLst>
            <c:ext xmlns:c16="http://schemas.microsoft.com/office/drawing/2014/chart" uri="{C3380CC4-5D6E-409C-BE32-E72D297353CC}">
              <c16:uniqueId val="{00000009-9D8D-482E-BE0B-0E57CFEE345C}"/>
            </c:ext>
          </c:extLst>
        </c:ser>
        <c:ser>
          <c:idx val="4"/>
          <c:order val="4"/>
          <c:tx>
            <c:v>mistral_devstral2_123b</c:v>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val>
            <c:numRef>
              <c:f>Mistral_devstral2_123b!$C$2:$C$51</c:f>
              <c:numCache>
                <c:formatCode>General</c:formatCode>
                <c:ptCount val="50"/>
                <c:pt idx="0">
                  <c:v>1</c:v>
                </c:pt>
                <c:pt idx="1">
                  <c:v>1</c:v>
                </c:pt>
                <c:pt idx="2">
                  <c:v>1</c:v>
                </c:pt>
                <c:pt idx="3">
                  <c:v>1</c:v>
                </c:pt>
                <c:pt idx="4">
                  <c:v>0.9</c:v>
                </c:pt>
                <c:pt idx="5">
                  <c:v>1</c:v>
                </c:pt>
                <c:pt idx="6">
                  <c:v>1</c:v>
                </c:pt>
                <c:pt idx="7">
                  <c:v>1</c:v>
                </c:pt>
                <c:pt idx="8">
                  <c:v>1</c:v>
                </c:pt>
                <c:pt idx="9">
                  <c:v>0.9</c:v>
                </c:pt>
                <c:pt idx="10">
                  <c:v>1</c:v>
                </c:pt>
                <c:pt idx="11">
                  <c:v>1</c:v>
                </c:pt>
                <c:pt idx="12">
                  <c:v>1</c:v>
                </c:pt>
                <c:pt idx="13">
                  <c:v>1</c:v>
                </c:pt>
                <c:pt idx="14">
                  <c:v>1</c:v>
                </c:pt>
                <c:pt idx="15">
                  <c:v>0.3</c:v>
                </c:pt>
                <c:pt idx="16">
                  <c:v>1</c:v>
                </c:pt>
                <c:pt idx="17">
                  <c:v>0.3</c:v>
                </c:pt>
                <c:pt idx="18">
                  <c:v>1</c:v>
                </c:pt>
                <c:pt idx="19">
                  <c:v>1</c:v>
                </c:pt>
                <c:pt idx="20">
                  <c:v>0.9</c:v>
                </c:pt>
                <c:pt idx="21">
                  <c:v>0.9</c:v>
                </c:pt>
                <c:pt idx="22">
                  <c:v>1</c:v>
                </c:pt>
                <c:pt idx="23">
                  <c:v>1</c:v>
                </c:pt>
                <c:pt idx="24">
                  <c:v>0.4</c:v>
                </c:pt>
                <c:pt idx="25">
                  <c:v>1</c:v>
                </c:pt>
                <c:pt idx="26">
                  <c:v>1</c:v>
                </c:pt>
                <c:pt idx="27">
                  <c:v>1</c:v>
                </c:pt>
                <c:pt idx="28">
                  <c:v>0.7</c:v>
                </c:pt>
                <c:pt idx="29">
                  <c:v>1</c:v>
                </c:pt>
                <c:pt idx="30">
                  <c:v>1</c:v>
                </c:pt>
                <c:pt idx="31">
                  <c:v>1</c:v>
                </c:pt>
                <c:pt idx="32">
                  <c:v>0.9</c:v>
                </c:pt>
                <c:pt idx="33">
                  <c:v>1</c:v>
                </c:pt>
                <c:pt idx="34">
                  <c:v>0.9</c:v>
                </c:pt>
                <c:pt idx="35">
                  <c:v>0.4</c:v>
                </c:pt>
                <c:pt idx="36">
                  <c:v>0.9</c:v>
                </c:pt>
                <c:pt idx="37">
                  <c:v>1</c:v>
                </c:pt>
                <c:pt idx="38">
                  <c:v>0.4</c:v>
                </c:pt>
                <c:pt idx="39">
                  <c:v>0.9</c:v>
                </c:pt>
                <c:pt idx="40">
                  <c:v>1</c:v>
                </c:pt>
                <c:pt idx="41">
                  <c:v>1</c:v>
                </c:pt>
                <c:pt idx="42">
                  <c:v>1</c:v>
                </c:pt>
                <c:pt idx="43">
                  <c:v>1</c:v>
                </c:pt>
                <c:pt idx="44">
                  <c:v>1</c:v>
                </c:pt>
                <c:pt idx="45">
                  <c:v>0.3</c:v>
                </c:pt>
                <c:pt idx="46">
                  <c:v>0.6</c:v>
                </c:pt>
                <c:pt idx="47">
                  <c:v>0.9</c:v>
                </c:pt>
                <c:pt idx="48">
                  <c:v>1</c:v>
                </c:pt>
                <c:pt idx="49">
                  <c:v>1</c:v>
                </c:pt>
              </c:numCache>
            </c:numRef>
          </c:val>
          <c:smooth val="0"/>
          <c:extLst>
            <c:ext xmlns:c16="http://schemas.microsoft.com/office/drawing/2014/chart" uri="{C3380CC4-5D6E-409C-BE32-E72D297353CC}">
              <c16:uniqueId val="{0000000A-9D8D-482E-BE0B-0E57CFEE345C}"/>
            </c:ext>
          </c:extLst>
        </c:ser>
        <c:dLbls>
          <c:showLegendKey val="0"/>
          <c:showVal val="0"/>
          <c:showCatName val="0"/>
          <c:showSerName val="0"/>
          <c:showPercent val="0"/>
          <c:showBubbleSize val="0"/>
        </c:dLbls>
        <c:marker val="1"/>
        <c:smooth val="0"/>
        <c:axId val="630272591"/>
        <c:axId val="630273551"/>
      </c:lineChart>
      <c:catAx>
        <c:axId val="63027259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0273551"/>
        <c:crosses val="autoZero"/>
        <c:auto val="1"/>
        <c:lblAlgn val="ctr"/>
        <c:lblOffset val="100"/>
        <c:noMultiLvlLbl val="0"/>
      </c:catAx>
      <c:valAx>
        <c:axId val="630273551"/>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Calificación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027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Tendencia general por pregunta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Comparaciones!$C$15</c:f>
              <c:strCache>
                <c:ptCount val="1"/>
                <c:pt idx="0">
                  <c:v>promedio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Comparaciones!$B$16:$B$65</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cat>
          <c:val>
            <c:numRef>
              <c:f>Comparaciones!$C$16:$C$65</c:f>
              <c:numCache>
                <c:formatCode>General</c:formatCode>
                <c:ptCount val="50"/>
                <c:pt idx="0">
                  <c:v>0.91000000000000014</c:v>
                </c:pt>
                <c:pt idx="1">
                  <c:v>0.91999999999999993</c:v>
                </c:pt>
                <c:pt idx="2">
                  <c:v>0.90999999999999992</c:v>
                </c:pt>
                <c:pt idx="3">
                  <c:v>0.93</c:v>
                </c:pt>
                <c:pt idx="4">
                  <c:v>0.98000000000000009</c:v>
                </c:pt>
                <c:pt idx="5">
                  <c:v>0.78</c:v>
                </c:pt>
                <c:pt idx="6">
                  <c:v>0.77</c:v>
                </c:pt>
                <c:pt idx="7">
                  <c:v>0.79</c:v>
                </c:pt>
                <c:pt idx="8">
                  <c:v>0.88000000000000012</c:v>
                </c:pt>
                <c:pt idx="9">
                  <c:v>0.60000000000000009</c:v>
                </c:pt>
                <c:pt idx="10">
                  <c:v>0.76</c:v>
                </c:pt>
                <c:pt idx="11">
                  <c:v>0.6399999999999999</c:v>
                </c:pt>
                <c:pt idx="12">
                  <c:v>0.55999999999999994</c:v>
                </c:pt>
                <c:pt idx="13">
                  <c:v>0.67</c:v>
                </c:pt>
                <c:pt idx="14">
                  <c:v>0.81000000000000016</c:v>
                </c:pt>
                <c:pt idx="15">
                  <c:v>0.53</c:v>
                </c:pt>
                <c:pt idx="16">
                  <c:v>0.45999999999999996</c:v>
                </c:pt>
                <c:pt idx="17">
                  <c:v>0.41</c:v>
                </c:pt>
                <c:pt idx="18">
                  <c:v>0.55999999999999994</c:v>
                </c:pt>
                <c:pt idx="19">
                  <c:v>0.84000000000000008</c:v>
                </c:pt>
                <c:pt idx="20">
                  <c:v>0.68000000000000016</c:v>
                </c:pt>
                <c:pt idx="21">
                  <c:v>0.57000000000000006</c:v>
                </c:pt>
                <c:pt idx="22">
                  <c:v>0.78</c:v>
                </c:pt>
                <c:pt idx="23">
                  <c:v>0.57000000000000006</c:v>
                </c:pt>
                <c:pt idx="24">
                  <c:v>0.64</c:v>
                </c:pt>
                <c:pt idx="25">
                  <c:v>0.77</c:v>
                </c:pt>
                <c:pt idx="26">
                  <c:v>0.67</c:v>
                </c:pt>
                <c:pt idx="27">
                  <c:v>0.74</c:v>
                </c:pt>
                <c:pt idx="28">
                  <c:v>0.72</c:v>
                </c:pt>
                <c:pt idx="29">
                  <c:v>0.76</c:v>
                </c:pt>
                <c:pt idx="30">
                  <c:v>0.80999999999999994</c:v>
                </c:pt>
                <c:pt idx="31">
                  <c:v>0.67999999999999994</c:v>
                </c:pt>
                <c:pt idx="32">
                  <c:v>0.88000000000000012</c:v>
                </c:pt>
                <c:pt idx="33">
                  <c:v>0.57999999999999996</c:v>
                </c:pt>
                <c:pt idx="34">
                  <c:v>0.73000000000000009</c:v>
                </c:pt>
                <c:pt idx="35">
                  <c:v>0.6100000000000001</c:v>
                </c:pt>
                <c:pt idx="36">
                  <c:v>0.56000000000000005</c:v>
                </c:pt>
                <c:pt idx="37">
                  <c:v>0.76</c:v>
                </c:pt>
                <c:pt idx="38">
                  <c:v>0.74</c:v>
                </c:pt>
                <c:pt idx="39">
                  <c:v>0.8</c:v>
                </c:pt>
                <c:pt idx="40">
                  <c:v>0.79</c:v>
                </c:pt>
                <c:pt idx="41">
                  <c:v>0.7</c:v>
                </c:pt>
                <c:pt idx="42">
                  <c:v>0.71</c:v>
                </c:pt>
                <c:pt idx="43">
                  <c:v>0.93</c:v>
                </c:pt>
                <c:pt idx="44">
                  <c:v>0.75</c:v>
                </c:pt>
                <c:pt idx="45">
                  <c:v>0.57999999999999996</c:v>
                </c:pt>
                <c:pt idx="46">
                  <c:v>0.57999999999999996</c:v>
                </c:pt>
                <c:pt idx="47">
                  <c:v>0.57999999999999996</c:v>
                </c:pt>
                <c:pt idx="48">
                  <c:v>0.84000000000000008</c:v>
                </c:pt>
                <c:pt idx="49">
                  <c:v>0.59000000000000008</c:v>
                </c:pt>
              </c:numCache>
            </c:numRef>
          </c:val>
          <c:extLst>
            <c:ext xmlns:c16="http://schemas.microsoft.com/office/drawing/2014/chart" uri="{C3380CC4-5D6E-409C-BE32-E72D297353CC}">
              <c16:uniqueId val="{00000000-BB24-4E80-9E58-A041130A2C17}"/>
            </c:ext>
          </c:extLst>
        </c:ser>
        <c:dLbls>
          <c:dLblPos val="outEnd"/>
          <c:showLegendKey val="0"/>
          <c:showVal val="1"/>
          <c:showCatName val="0"/>
          <c:showSerName val="0"/>
          <c:showPercent val="0"/>
          <c:showBubbleSize val="0"/>
        </c:dLbls>
        <c:gapWidth val="150"/>
        <c:axId val="1585748783"/>
        <c:axId val="1585750223"/>
      </c:barChart>
      <c:catAx>
        <c:axId val="15857487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pregunta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85750223"/>
        <c:crosses val="autoZero"/>
        <c:auto val="1"/>
        <c:lblAlgn val="ctr"/>
        <c:lblOffset val="100"/>
        <c:noMultiLvlLbl val="0"/>
      </c:catAx>
      <c:valAx>
        <c:axId val="1585750223"/>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calificación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857487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Tendendencia</a:t>
            </a:r>
            <a:r>
              <a:rPr lang="es-CO" baseline="0"/>
              <a:t> de los modelos pequeños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0"/>
          <c:tx>
            <c:v>qwen25_3b</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qwen25_3b!$C$2:$C$51</c:f>
              <c:numCache>
                <c:formatCode>General</c:formatCode>
                <c:ptCount val="50"/>
                <c:pt idx="0">
                  <c:v>1</c:v>
                </c:pt>
                <c:pt idx="1">
                  <c:v>1</c:v>
                </c:pt>
                <c:pt idx="2">
                  <c:v>1</c:v>
                </c:pt>
                <c:pt idx="3">
                  <c:v>0.9</c:v>
                </c:pt>
                <c:pt idx="4">
                  <c:v>1</c:v>
                </c:pt>
                <c:pt idx="5">
                  <c:v>1</c:v>
                </c:pt>
                <c:pt idx="6">
                  <c:v>1</c:v>
                </c:pt>
                <c:pt idx="7">
                  <c:v>0.9</c:v>
                </c:pt>
                <c:pt idx="8">
                  <c:v>1</c:v>
                </c:pt>
                <c:pt idx="9">
                  <c:v>1</c:v>
                </c:pt>
                <c:pt idx="10">
                  <c:v>0.2</c:v>
                </c:pt>
                <c:pt idx="11">
                  <c:v>0.3</c:v>
                </c:pt>
                <c:pt idx="12">
                  <c:v>0.3</c:v>
                </c:pt>
                <c:pt idx="13">
                  <c:v>0.2</c:v>
                </c:pt>
                <c:pt idx="14">
                  <c:v>0.2</c:v>
                </c:pt>
                <c:pt idx="15">
                  <c:v>0.3</c:v>
                </c:pt>
                <c:pt idx="16">
                  <c:v>0.2</c:v>
                </c:pt>
                <c:pt idx="17">
                  <c:v>0.3</c:v>
                </c:pt>
                <c:pt idx="18">
                  <c:v>0.3</c:v>
                </c:pt>
                <c:pt idx="19">
                  <c:v>0.2</c:v>
                </c:pt>
                <c:pt idx="20">
                  <c:v>0.2</c:v>
                </c:pt>
                <c:pt idx="21">
                  <c:v>0.2</c:v>
                </c:pt>
                <c:pt idx="22">
                  <c:v>0.2</c:v>
                </c:pt>
                <c:pt idx="23">
                  <c:v>0.1</c:v>
                </c:pt>
                <c:pt idx="24">
                  <c:v>0.2</c:v>
                </c:pt>
                <c:pt idx="25">
                  <c:v>0.2</c:v>
                </c:pt>
                <c:pt idx="26">
                  <c:v>0.1</c:v>
                </c:pt>
                <c:pt idx="27">
                  <c:v>0.3</c:v>
                </c:pt>
                <c:pt idx="28">
                  <c:v>0.2</c:v>
                </c:pt>
                <c:pt idx="29">
                  <c:v>0.2</c:v>
                </c:pt>
                <c:pt idx="30">
                  <c:v>0.2</c:v>
                </c:pt>
                <c:pt idx="31">
                  <c:v>0.1</c:v>
                </c:pt>
                <c:pt idx="32">
                  <c:v>0.3</c:v>
                </c:pt>
                <c:pt idx="33">
                  <c:v>0.2</c:v>
                </c:pt>
                <c:pt idx="34">
                  <c:v>0.3</c:v>
                </c:pt>
                <c:pt idx="35">
                  <c:v>0.2</c:v>
                </c:pt>
                <c:pt idx="36">
                  <c:v>0.2</c:v>
                </c:pt>
                <c:pt idx="37">
                  <c:v>0.1</c:v>
                </c:pt>
                <c:pt idx="38">
                  <c:v>0.2</c:v>
                </c:pt>
                <c:pt idx="39">
                  <c:v>1</c:v>
                </c:pt>
                <c:pt idx="40">
                  <c:v>0.2</c:v>
                </c:pt>
                <c:pt idx="41">
                  <c:v>0.2</c:v>
                </c:pt>
                <c:pt idx="42">
                  <c:v>0.2</c:v>
                </c:pt>
                <c:pt idx="43">
                  <c:v>0.3</c:v>
                </c:pt>
                <c:pt idx="44">
                  <c:v>0.1</c:v>
                </c:pt>
                <c:pt idx="45">
                  <c:v>0.2</c:v>
                </c:pt>
                <c:pt idx="46">
                  <c:v>0.3</c:v>
                </c:pt>
                <c:pt idx="47">
                  <c:v>0.2</c:v>
                </c:pt>
                <c:pt idx="48">
                  <c:v>0.2</c:v>
                </c:pt>
                <c:pt idx="49">
                  <c:v>0.1</c:v>
                </c:pt>
              </c:numCache>
            </c:numRef>
          </c:val>
          <c:extLst>
            <c:ext xmlns:c16="http://schemas.microsoft.com/office/drawing/2014/chart" uri="{C3380CC4-5D6E-409C-BE32-E72D297353CC}">
              <c16:uniqueId val="{00000000-1DD2-47E6-BB40-C66E3DC31B99}"/>
            </c:ext>
          </c:extLst>
        </c:ser>
        <c:ser>
          <c:idx val="0"/>
          <c:order val="1"/>
          <c:tx>
            <c:v>gemma_7b</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gemma_7b!$C$2:$C$51</c:f>
              <c:numCache>
                <c:formatCode>General</c:formatCode>
                <c:ptCount val="50"/>
                <c:pt idx="0">
                  <c:v>0.4</c:v>
                </c:pt>
                <c:pt idx="1">
                  <c:v>0.3</c:v>
                </c:pt>
                <c:pt idx="2">
                  <c:v>0.3</c:v>
                </c:pt>
                <c:pt idx="3">
                  <c:v>0.4</c:v>
                </c:pt>
                <c:pt idx="4">
                  <c:v>1</c:v>
                </c:pt>
                <c:pt idx="5">
                  <c:v>0.2</c:v>
                </c:pt>
                <c:pt idx="6">
                  <c:v>0.3</c:v>
                </c:pt>
                <c:pt idx="7">
                  <c:v>0.3</c:v>
                </c:pt>
                <c:pt idx="8">
                  <c:v>0.3</c:v>
                </c:pt>
                <c:pt idx="9">
                  <c:v>0.3</c:v>
                </c:pt>
                <c:pt idx="10">
                  <c:v>0.3</c:v>
                </c:pt>
                <c:pt idx="11">
                  <c:v>0.2</c:v>
                </c:pt>
                <c:pt idx="12">
                  <c:v>0.3</c:v>
                </c:pt>
                <c:pt idx="13">
                  <c:v>0.2</c:v>
                </c:pt>
                <c:pt idx="14">
                  <c:v>0.2</c:v>
                </c:pt>
                <c:pt idx="15">
                  <c:v>0.3</c:v>
                </c:pt>
                <c:pt idx="16">
                  <c:v>0.3</c:v>
                </c:pt>
                <c:pt idx="17">
                  <c:v>0.3</c:v>
                </c:pt>
                <c:pt idx="18">
                  <c:v>0.3</c:v>
                </c:pt>
                <c:pt idx="19">
                  <c:v>1</c:v>
                </c:pt>
                <c:pt idx="20">
                  <c:v>0.2</c:v>
                </c:pt>
                <c:pt idx="21">
                  <c:v>0.3</c:v>
                </c:pt>
                <c:pt idx="22">
                  <c:v>0.9</c:v>
                </c:pt>
                <c:pt idx="23">
                  <c:v>0.3</c:v>
                </c:pt>
                <c:pt idx="24">
                  <c:v>0.4</c:v>
                </c:pt>
                <c:pt idx="25">
                  <c:v>1</c:v>
                </c:pt>
                <c:pt idx="26">
                  <c:v>0.2</c:v>
                </c:pt>
                <c:pt idx="27">
                  <c:v>0.2</c:v>
                </c:pt>
                <c:pt idx="28">
                  <c:v>0.9</c:v>
                </c:pt>
                <c:pt idx="29">
                  <c:v>0.6</c:v>
                </c:pt>
                <c:pt idx="30">
                  <c:v>0.9</c:v>
                </c:pt>
                <c:pt idx="31">
                  <c:v>0.2</c:v>
                </c:pt>
                <c:pt idx="32">
                  <c:v>0.9</c:v>
                </c:pt>
                <c:pt idx="33">
                  <c:v>0.4</c:v>
                </c:pt>
                <c:pt idx="34">
                  <c:v>0.9</c:v>
                </c:pt>
                <c:pt idx="35">
                  <c:v>0.3</c:v>
                </c:pt>
                <c:pt idx="36">
                  <c:v>0.4</c:v>
                </c:pt>
                <c:pt idx="37">
                  <c:v>0.9</c:v>
                </c:pt>
                <c:pt idx="38">
                  <c:v>0.6</c:v>
                </c:pt>
                <c:pt idx="39">
                  <c:v>0.2</c:v>
                </c:pt>
                <c:pt idx="40">
                  <c:v>0.9</c:v>
                </c:pt>
                <c:pt idx="41">
                  <c:v>0.4</c:v>
                </c:pt>
                <c:pt idx="42">
                  <c:v>0.9</c:v>
                </c:pt>
                <c:pt idx="43">
                  <c:v>1</c:v>
                </c:pt>
                <c:pt idx="44">
                  <c:v>0.9</c:v>
                </c:pt>
                <c:pt idx="45">
                  <c:v>0.2</c:v>
                </c:pt>
                <c:pt idx="46">
                  <c:v>0.9</c:v>
                </c:pt>
                <c:pt idx="47">
                  <c:v>0.4</c:v>
                </c:pt>
                <c:pt idx="48">
                  <c:v>1</c:v>
                </c:pt>
                <c:pt idx="49">
                  <c:v>0.6</c:v>
                </c:pt>
              </c:numCache>
            </c:numRef>
          </c:val>
          <c:extLst>
            <c:ext xmlns:c16="http://schemas.microsoft.com/office/drawing/2014/chart" uri="{C3380CC4-5D6E-409C-BE32-E72D297353CC}">
              <c16:uniqueId val="{00000001-1DD2-47E6-BB40-C66E3DC31B99}"/>
            </c:ext>
          </c:extLst>
        </c:ser>
        <c:ser>
          <c:idx val="2"/>
          <c:order val="2"/>
          <c:tx>
            <c:v>llama31_8b</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llama31_8b!$C$2:$C$51</c:f>
              <c:numCache>
                <c:formatCode>General</c:formatCode>
                <c:ptCount val="50"/>
                <c:pt idx="0">
                  <c:v>1</c:v>
                </c:pt>
                <c:pt idx="1">
                  <c:v>1</c:v>
                </c:pt>
                <c:pt idx="2">
                  <c:v>0.9</c:v>
                </c:pt>
                <c:pt idx="3">
                  <c:v>1</c:v>
                </c:pt>
                <c:pt idx="4">
                  <c:v>1</c:v>
                </c:pt>
                <c:pt idx="5">
                  <c:v>0.3</c:v>
                </c:pt>
                <c:pt idx="6">
                  <c:v>0.3</c:v>
                </c:pt>
                <c:pt idx="7">
                  <c:v>0.7</c:v>
                </c:pt>
                <c:pt idx="8">
                  <c:v>0.9</c:v>
                </c:pt>
                <c:pt idx="9">
                  <c:v>0.2</c:v>
                </c:pt>
                <c:pt idx="10">
                  <c:v>0.2</c:v>
                </c:pt>
                <c:pt idx="11">
                  <c:v>0.3</c:v>
                </c:pt>
                <c:pt idx="12">
                  <c:v>0.2</c:v>
                </c:pt>
                <c:pt idx="13">
                  <c:v>0.2</c:v>
                </c:pt>
                <c:pt idx="14">
                  <c:v>0.9</c:v>
                </c:pt>
                <c:pt idx="15">
                  <c:v>0.3</c:v>
                </c:pt>
                <c:pt idx="16">
                  <c:v>0.3</c:v>
                </c:pt>
                <c:pt idx="17">
                  <c:v>0.3</c:v>
                </c:pt>
                <c:pt idx="18">
                  <c:v>0.2</c:v>
                </c:pt>
                <c:pt idx="19">
                  <c:v>1</c:v>
                </c:pt>
                <c:pt idx="20">
                  <c:v>0.8</c:v>
                </c:pt>
                <c:pt idx="21">
                  <c:v>0.3</c:v>
                </c:pt>
                <c:pt idx="22">
                  <c:v>1</c:v>
                </c:pt>
                <c:pt idx="23">
                  <c:v>0.3</c:v>
                </c:pt>
                <c:pt idx="24">
                  <c:v>0.2</c:v>
                </c:pt>
                <c:pt idx="25">
                  <c:v>0.3</c:v>
                </c:pt>
                <c:pt idx="26">
                  <c:v>0.9</c:v>
                </c:pt>
                <c:pt idx="27">
                  <c:v>0.2</c:v>
                </c:pt>
                <c:pt idx="28">
                  <c:v>0.4</c:v>
                </c:pt>
                <c:pt idx="29">
                  <c:v>1</c:v>
                </c:pt>
                <c:pt idx="30">
                  <c:v>0.9</c:v>
                </c:pt>
                <c:pt idx="31">
                  <c:v>1</c:v>
                </c:pt>
                <c:pt idx="32">
                  <c:v>1</c:v>
                </c:pt>
                <c:pt idx="33">
                  <c:v>0.2</c:v>
                </c:pt>
                <c:pt idx="34">
                  <c:v>0.1</c:v>
                </c:pt>
                <c:pt idx="35">
                  <c:v>0.3</c:v>
                </c:pt>
                <c:pt idx="36">
                  <c:v>0.3</c:v>
                </c:pt>
                <c:pt idx="37">
                  <c:v>1</c:v>
                </c:pt>
                <c:pt idx="38">
                  <c:v>1</c:v>
                </c:pt>
                <c:pt idx="39">
                  <c:v>0.9</c:v>
                </c:pt>
                <c:pt idx="40">
                  <c:v>0.8</c:v>
                </c:pt>
                <c:pt idx="41">
                  <c:v>0.2</c:v>
                </c:pt>
                <c:pt idx="42">
                  <c:v>1</c:v>
                </c:pt>
                <c:pt idx="43">
                  <c:v>1</c:v>
                </c:pt>
                <c:pt idx="44">
                  <c:v>0.6</c:v>
                </c:pt>
                <c:pt idx="45">
                  <c:v>0.6</c:v>
                </c:pt>
                <c:pt idx="46">
                  <c:v>0.6</c:v>
                </c:pt>
                <c:pt idx="47">
                  <c:v>0.3</c:v>
                </c:pt>
                <c:pt idx="48">
                  <c:v>1</c:v>
                </c:pt>
                <c:pt idx="49">
                  <c:v>0.6</c:v>
                </c:pt>
              </c:numCache>
            </c:numRef>
          </c:val>
          <c:extLst>
            <c:ext xmlns:c16="http://schemas.microsoft.com/office/drawing/2014/chart" uri="{C3380CC4-5D6E-409C-BE32-E72D297353CC}">
              <c16:uniqueId val="{00000002-1DD2-47E6-BB40-C66E3DC31B99}"/>
            </c:ext>
          </c:extLst>
        </c:ser>
        <c:ser>
          <c:idx val="3"/>
          <c:order val="3"/>
          <c:tx>
            <c:v>mistral_7b</c:v>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mistral_7b!$C$2:$C$51</c:f>
              <c:numCache>
                <c:formatCode>General</c:formatCode>
                <c:ptCount val="50"/>
                <c:pt idx="0">
                  <c:v>0.9</c:v>
                </c:pt>
                <c:pt idx="1">
                  <c:v>1</c:v>
                </c:pt>
                <c:pt idx="2">
                  <c:v>1</c:v>
                </c:pt>
                <c:pt idx="3">
                  <c:v>1</c:v>
                </c:pt>
                <c:pt idx="4">
                  <c:v>1</c:v>
                </c:pt>
                <c:pt idx="5">
                  <c:v>1</c:v>
                </c:pt>
                <c:pt idx="6">
                  <c:v>0.9</c:v>
                </c:pt>
                <c:pt idx="7">
                  <c:v>0.9</c:v>
                </c:pt>
                <c:pt idx="8">
                  <c:v>0.9</c:v>
                </c:pt>
                <c:pt idx="9">
                  <c:v>0.2</c:v>
                </c:pt>
                <c:pt idx="10">
                  <c:v>1</c:v>
                </c:pt>
                <c:pt idx="11">
                  <c:v>0.4</c:v>
                </c:pt>
                <c:pt idx="12">
                  <c:v>0.3</c:v>
                </c:pt>
                <c:pt idx="13">
                  <c:v>0.3</c:v>
                </c:pt>
                <c:pt idx="14">
                  <c:v>1</c:v>
                </c:pt>
                <c:pt idx="15">
                  <c:v>0.3</c:v>
                </c:pt>
                <c:pt idx="16">
                  <c:v>0.3</c:v>
                </c:pt>
                <c:pt idx="17">
                  <c:v>0.3</c:v>
                </c:pt>
                <c:pt idx="18">
                  <c:v>0.2</c:v>
                </c:pt>
                <c:pt idx="19">
                  <c:v>0.2</c:v>
                </c:pt>
                <c:pt idx="20">
                  <c:v>0.3</c:v>
                </c:pt>
                <c:pt idx="21">
                  <c:v>0.3</c:v>
                </c:pt>
                <c:pt idx="22">
                  <c:v>0.3</c:v>
                </c:pt>
                <c:pt idx="23">
                  <c:v>0.3</c:v>
                </c:pt>
                <c:pt idx="24">
                  <c:v>0.3</c:v>
                </c:pt>
                <c:pt idx="25">
                  <c:v>0.3</c:v>
                </c:pt>
                <c:pt idx="26">
                  <c:v>0.3</c:v>
                </c:pt>
                <c:pt idx="27">
                  <c:v>0.9</c:v>
                </c:pt>
                <c:pt idx="28">
                  <c:v>0.3</c:v>
                </c:pt>
                <c:pt idx="29">
                  <c:v>0.2</c:v>
                </c:pt>
                <c:pt idx="30">
                  <c:v>0.2</c:v>
                </c:pt>
                <c:pt idx="31">
                  <c:v>0.9</c:v>
                </c:pt>
                <c:pt idx="32">
                  <c:v>0.9</c:v>
                </c:pt>
                <c:pt idx="33">
                  <c:v>0.3</c:v>
                </c:pt>
                <c:pt idx="34">
                  <c:v>0.2</c:v>
                </c:pt>
                <c:pt idx="35">
                  <c:v>0.3</c:v>
                </c:pt>
                <c:pt idx="36">
                  <c:v>0.2</c:v>
                </c:pt>
                <c:pt idx="37">
                  <c:v>0.2</c:v>
                </c:pt>
                <c:pt idx="38">
                  <c:v>1</c:v>
                </c:pt>
                <c:pt idx="39">
                  <c:v>0.2</c:v>
                </c:pt>
                <c:pt idx="40">
                  <c:v>0.4</c:v>
                </c:pt>
                <c:pt idx="41">
                  <c:v>0.2</c:v>
                </c:pt>
                <c:pt idx="42">
                  <c:v>0.3</c:v>
                </c:pt>
                <c:pt idx="43">
                  <c:v>1</c:v>
                </c:pt>
                <c:pt idx="44">
                  <c:v>0.3</c:v>
                </c:pt>
                <c:pt idx="45">
                  <c:v>0.3</c:v>
                </c:pt>
                <c:pt idx="46">
                  <c:v>0.2</c:v>
                </c:pt>
                <c:pt idx="47">
                  <c:v>0.2</c:v>
                </c:pt>
                <c:pt idx="48">
                  <c:v>0.2</c:v>
                </c:pt>
                <c:pt idx="49">
                  <c:v>0.2</c:v>
                </c:pt>
              </c:numCache>
            </c:numRef>
          </c:val>
          <c:extLst>
            <c:ext xmlns:c16="http://schemas.microsoft.com/office/drawing/2014/chart" uri="{C3380CC4-5D6E-409C-BE32-E72D297353CC}">
              <c16:uniqueId val="{00000003-1DD2-47E6-BB40-C66E3DC31B99}"/>
            </c:ext>
          </c:extLst>
        </c:ser>
        <c:ser>
          <c:idx val="4"/>
          <c:order val="4"/>
          <c:tx>
            <c:v>deepseek_r1_8b</c:v>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deepseek_R1_8b!$C$2:$C$51</c:f>
              <c:numCache>
                <c:formatCode>General</c:formatCode>
                <c:ptCount val="50"/>
                <c:pt idx="0">
                  <c:v>1</c:v>
                </c:pt>
                <c:pt idx="1">
                  <c:v>1</c:v>
                </c:pt>
                <c:pt idx="2">
                  <c:v>1</c:v>
                </c:pt>
                <c:pt idx="3">
                  <c:v>1</c:v>
                </c:pt>
                <c:pt idx="4">
                  <c:v>1</c:v>
                </c:pt>
                <c:pt idx="5">
                  <c:v>1</c:v>
                </c:pt>
                <c:pt idx="6">
                  <c:v>1</c:v>
                </c:pt>
                <c:pt idx="7">
                  <c:v>0.9</c:v>
                </c:pt>
                <c:pt idx="8">
                  <c:v>1</c:v>
                </c:pt>
                <c:pt idx="9">
                  <c:v>1</c:v>
                </c:pt>
                <c:pt idx="10">
                  <c:v>1</c:v>
                </c:pt>
                <c:pt idx="11">
                  <c:v>0.3</c:v>
                </c:pt>
                <c:pt idx="12">
                  <c:v>0.3</c:v>
                </c:pt>
                <c:pt idx="13">
                  <c:v>1</c:v>
                </c:pt>
                <c:pt idx="14">
                  <c:v>0.9</c:v>
                </c:pt>
                <c:pt idx="15">
                  <c:v>0.3</c:v>
                </c:pt>
                <c:pt idx="16">
                  <c:v>0.3</c:v>
                </c:pt>
                <c:pt idx="17">
                  <c:v>0.3</c:v>
                </c:pt>
                <c:pt idx="18">
                  <c:v>0.4</c:v>
                </c:pt>
                <c:pt idx="19">
                  <c:v>1</c:v>
                </c:pt>
                <c:pt idx="20">
                  <c:v>0.7</c:v>
                </c:pt>
                <c:pt idx="21">
                  <c:v>0.3</c:v>
                </c:pt>
                <c:pt idx="22">
                  <c:v>0.4</c:v>
                </c:pt>
                <c:pt idx="23">
                  <c:v>0.3</c:v>
                </c:pt>
                <c:pt idx="24">
                  <c:v>1</c:v>
                </c:pt>
                <c:pt idx="25">
                  <c:v>1</c:v>
                </c:pt>
                <c:pt idx="26">
                  <c:v>0.3</c:v>
                </c:pt>
                <c:pt idx="27">
                  <c:v>1</c:v>
                </c:pt>
                <c:pt idx="28">
                  <c:v>0.9</c:v>
                </c:pt>
                <c:pt idx="29">
                  <c:v>1</c:v>
                </c:pt>
                <c:pt idx="30">
                  <c:v>1</c:v>
                </c:pt>
                <c:pt idx="31">
                  <c:v>0.3</c:v>
                </c:pt>
                <c:pt idx="32">
                  <c:v>1</c:v>
                </c:pt>
                <c:pt idx="33">
                  <c:v>0.4</c:v>
                </c:pt>
                <c:pt idx="34">
                  <c:v>1</c:v>
                </c:pt>
                <c:pt idx="35">
                  <c:v>1</c:v>
                </c:pt>
                <c:pt idx="36">
                  <c:v>0.8</c:v>
                </c:pt>
                <c:pt idx="37">
                  <c:v>1</c:v>
                </c:pt>
                <c:pt idx="38">
                  <c:v>0.3</c:v>
                </c:pt>
                <c:pt idx="39">
                  <c:v>1</c:v>
                </c:pt>
                <c:pt idx="40">
                  <c:v>0.6</c:v>
                </c:pt>
                <c:pt idx="41">
                  <c:v>1</c:v>
                </c:pt>
                <c:pt idx="42">
                  <c:v>0.4</c:v>
                </c:pt>
                <c:pt idx="43">
                  <c:v>1</c:v>
                </c:pt>
                <c:pt idx="44">
                  <c:v>1</c:v>
                </c:pt>
                <c:pt idx="45">
                  <c:v>0.4</c:v>
                </c:pt>
                <c:pt idx="46">
                  <c:v>0.9</c:v>
                </c:pt>
                <c:pt idx="47">
                  <c:v>1</c:v>
                </c:pt>
                <c:pt idx="48">
                  <c:v>1</c:v>
                </c:pt>
                <c:pt idx="49">
                  <c:v>0.6</c:v>
                </c:pt>
              </c:numCache>
            </c:numRef>
          </c:val>
          <c:extLst>
            <c:ext xmlns:c16="http://schemas.microsoft.com/office/drawing/2014/chart" uri="{C3380CC4-5D6E-409C-BE32-E72D297353CC}">
              <c16:uniqueId val="{00000004-1DD2-47E6-BB40-C66E3DC31B99}"/>
            </c:ext>
          </c:extLst>
        </c:ser>
        <c:dLbls>
          <c:dLblPos val="outEnd"/>
          <c:showLegendKey val="0"/>
          <c:showVal val="1"/>
          <c:showCatName val="0"/>
          <c:showSerName val="0"/>
          <c:showPercent val="0"/>
          <c:showBubbleSize val="0"/>
        </c:dLbls>
        <c:gapWidth val="150"/>
        <c:axId val="630272591"/>
        <c:axId val="630273551"/>
      </c:barChart>
      <c:catAx>
        <c:axId val="63027259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0273551"/>
        <c:crosses val="autoZero"/>
        <c:auto val="1"/>
        <c:lblAlgn val="ctr"/>
        <c:lblOffset val="100"/>
        <c:noMultiLvlLbl val="0"/>
      </c:catAx>
      <c:valAx>
        <c:axId val="630273551"/>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Calificación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027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Tendendencia</a:t>
            </a:r>
            <a:r>
              <a:rPr lang="es-CO" baseline="0"/>
              <a:t> de los modelos pequeños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v>llama33_70b</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llama33_70b!$C$2:$C$51</c:f>
              <c:numCache>
                <c:formatCode>General</c:formatCode>
                <c:ptCount val="50"/>
                <c:pt idx="0">
                  <c:v>0.9</c:v>
                </c:pt>
                <c:pt idx="1">
                  <c:v>1</c:v>
                </c:pt>
                <c:pt idx="2">
                  <c:v>1</c:v>
                </c:pt>
                <c:pt idx="3">
                  <c:v>1</c:v>
                </c:pt>
                <c:pt idx="4">
                  <c:v>1</c:v>
                </c:pt>
                <c:pt idx="5">
                  <c:v>1</c:v>
                </c:pt>
                <c:pt idx="6">
                  <c:v>1</c:v>
                </c:pt>
                <c:pt idx="7">
                  <c:v>1</c:v>
                </c:pt>
                <c:pt idx="8">
                  <c:v>0.9</c:v>
                </c:pt>
                <c:pt idx="9">
                  <c:v>0.2</c:v>
                </c:pt>
                <c:pt idx="10">
                  <c:v>1</c:v>
                </c:pt>
                <c:pt idx="11">
                  <c:v>0.9</c:v>
                </c:pt>
                <c:pt idx="12">
                  <c:v>0.9</c:v>
                </c:pt>
                <c:pt idx="13">
                  <c:v>0.9</c:v>
                </c:pt>
                <c:pt idx="14">
                  <c:v>1</c:v>
                </c:pt>
                <c:pt idx="15">
                  <c:v>0.9</c:v>
                </c:pt>
                <c:pt idx="16">
                  <c:v>0.2</c:v>
                </c:pt>
                <c:pt idx="17">
                  <c:v>0.9</c:v>
                </c:pt>
                <c:pt idx="18">
                  <c:v>1</c:v>
                </c:pt>
                <c:pt idx="19">
                  <c:v>1</c:v>
                </c:pt>
                <c:pt idx="20">
                  <c:v>0.9</c:v>
                </c:pt>
                <c:pt idx="21">
                  <c:v>0.6</c:v>
                </c:pt>
                <c:pt idx="22">
                  <c:v>1</c:v>
                </c:pt>
                <c:pt idx="23">
                  <c:v>1</c:v>
                </c:pt>
                <c:pt idx="24">
                  <c:v>1</c:v>
                </c:pt>
                <c:pt idx="25">
                  <c:v>1</c:v>
                </c:pt>
                <c:pt idx="26">
                  <c:v>1</c:v>
                </c:pt>
                <c:pt idx="27">
                  <c:v>0.8</c:v>
                </c:pt>
                <c:pt idx="28">
                  <c:v>0.8</c:v>
                </c:pt>
                <c:pt idx="29">
                  <c:v>1</c:v>
                </c:pt>
                <c:pt idx="30">
                  <c:v>0.9</c:v>
                </c:pt>
                <c:pt idx="31">
                  <c:v>1</c:v>
                </c:pt>
                <c:pt idx="32">
                  <c:v>0.9</c:v>
                </c:pt>
                <c:pt idx="33">
                  <c:v>1</c:v>
                </c:pt>
                <c:pt idx="34">
                  <c:v>0.9</c:v>
                </c:pt>
                <c:pt idx="35">
                  <c:v>0.9</c:v>
                </c:pt>
                <c:pt idx="36">
                  <c:v>0.6</c:v>
                </c:pt>
                <c:pt idx="37">
                  <c:v>0.4</c:v>
                </c:pt>
                <c:pt idx="38">
                  <c:v>1</c:v>
                </c:pt>
                <c:pt idx="39">
                  <c:v>1</c:v>
                </c:pt>
                <c:pt idx="40">
                  <c:v>1</c:v>
                </c:pt>
                <c:pt idx="41">
                  <c:v>1</c:v>
                </c:pt>
                <c:pt idx="42">
                  <c:v>1</c:v>
                </c:pt>
                <c:pt idx="43">
                  <c:v>1</c:v>
                </c:pt>
                <c:pt idx="44">
                  <c:v>0.6</c:v>
                </c:pt>
                <c:pt idx="45">
                  <c:v>1</c:v>
                </c:pt>
                <c:pt idx="46">
                  <c:v>0.6</c:v>
                </c:pt>
                <c:pt idx="47">
                  <c:v>0.4</c:v>
                </c:pt>
                <c:pt idx="48">
                  <c:v>1</c:v>
                </c:pt>
                <c:pt idx="49">
                  <c:v>0.6</c:v>
                </c:pt>
              </c:numCache>
            </c:numRef>
          </c:val>
          <c:extLst>
            <c:ext xmlns:c16="http://schemas.microsoft.com/office/drawing/2014/chart" uri="{C3380CC4-5D6E-409C-BE32-E72D297353CC}">
              <c16:uniqueId val="{00000000-C1AB-4BEC-AE1E-C1906585A57A}"/>
            </c:ext>
          </c:extLst>
        </c:ser>
        <c:ser>
          <c:idx val="1"/>
          <c:order val="1"/>
          <c:tx>
            <c:v>qwen3_coder_35b_480b</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qwen3_coder_35b_480b!$C$2:$C$51</c:f>
              <c:numCache>
                <c:formatCode>General</c:formatCode>
                <c:ptCount val="50"/>
                <c:pt idx="0">
                  <c:v>1</c:v>
                </c:pt>
                <c:pt idx="1">
                  <c:v>0.9</c:v>
                </c:pt>
                <c:pt idx="2">
                  <c:v>1</c:v>
                </c:pt>
                <c:pt idx="3">
                  <c:v>1</c:v>
                </c:pt>
                <c:pt idx="4">
                  <c:v>0.9</c:v>
                </c:pt>
                <c:pt idx="5">
                  <c:v>0.3</c:v>
                </c:pt>
                <c:pt idx="6">
                  <c:v>0.3</c:v>
                </c:pt>
                <c:pt idx="7">
                  <c:v>0.3</c:v>
                </c:pt>
                <c:pt idx="8">
                  <c:v>1</c:v>
                </c:pt>
                <c:pt idx="9">
                  <c:v>1</c:v>
                </c:pt>
                <c:pt idx="10">
                  <c:v>1</c:v>
                </c:pt>
                <c:pt idx="11">
                  <c:v>1</c:v>
                </c:pt>
                <c:pt idx="12">
                  <c:v>1</c:v>
                </c:pt>
                <c:pt idx="13">
                  <c:v>0.9</c:v>
                </c:pt>
                <c:pt idx="14">
                  <c:v>1</c:v>
                </c:pt>
                <c:pt idx="15">
                  <c:v>0.8</c:v>
                </c:pt>
                <c:pt idx="16">
                  <c:v>0.9</c:v>
                </c:pt>
                <c:pt idx="17">
                  <c:v>0.3</c:v>
                </c:pt>
                <c:pt idx="18">
                  <c:v>1</c:v>
                </c:pt>
                <c:pt idx="19">
                  <c:v>1</c:v>
                </c:pt>
                <c:pt idx="20">
                  <c:v>0.9</c:v>
                </c:pt>
                <c:pt idx="21">
                  <c:v>0.9</c:v>
                </c:pt>
                <c:pt idx="22">
                  <c:v>1</c:v>
                </c:pt>
                <c:pt idx="23">
                  <c:v>1</c:v>
                </c:pt>
                <c:pt idx="24">
                  <c:v>1</c:v>
                </c:pt>
                <c:pt idx="25">
                  <c:v>1</c:v>
                </c:pt>
                <c:pt idx="26">
                  <c:v>1</c:v>
                </c:pt>
                <c:pt idx="27">
                  <c:v>1</c:v>
                </c:pt>
                <c:pt idx="28">
                  <c:v>1</c:v>
                </c:pt>
                <c:pt idx="29">
                  <c:v>1</c:v>
                </c:pt>
                <c:pt idx="30">
                  <c:v>1</c:v>
                </c:pt>
                <c:pt idx="31">
                  <c:v>0.3</c:v>
                </c:pt>
                <c:pt idx="32">
                  <c:v>1</c:v>
                </c:pt>
                <c:pt idx="33">
                  <c:v>1</c:v>
                </c:pt>
                <c:pt idx="34">
                  <c:v>1</c:v>
                </c:pt>
                <c:pt idx="35">
                  <c:v>0.9</c:v>
                </c:pt>
                <c:pt idx="36">
                  <c:v>0.3</c:v>
                </c:pt>
                <c:pt idx="37">
                  <c:v>1</c:v>
                </c:pt>
                <c:pt idx="38">
                  <c:v>1</c:v>
                </c:pt>
                <c:pt idx="39">
                  <c:v>0.9</c:v>
                </c:pt>
                <c:pt idx="40">
                  <c:v>1</c:v>
                </c:pt>
                <c:pt idx="41">
                  <c:v>1</c:v>
                </c:pt>
                <c:pt idx="42">
                  <c:v>0.3</c:v>
                </c:pt>
                <c:pt idx="43">
                  <c:v>1</c:v>
                </c:pt>
                <c:pt idx="44">
                  <c:v>1</c:v>
                </c:pt>
                <c:pt idx="45">
                  <c:v>0.8</c:v>
                </c:pt>
                <c:pt idx="46">
                  <c:v>0.3</c:v>
                </c:pt>
                <c:pt idx="47">
                  <c:v>0.8</c:v>
                </c:pt>
                <c:pt idx="48">
                  <c:v>1</c:v>
                </c:pt>
                <c:pt idx="49">
                  <c:v>0.6</c:v>
                </c:pt>
              </c:numCache>
            </c:numRef>
          </c:val>
          <c:extLst>
            <c:ext xmlns:c16="http://schemas.microsoft.com/office/drawing/2014/chart" uri="{C3380CC4-5D6E-409C-BE32-E72D297353CC}">
              <c16:uniqueId val="{00000001-C1AB-4BEC-AE1E-C1906585A57A}"/>
            </c:ext>
          </c:extLst>
        </c:ser>
        <c:ser>
          <c:idx val="2"/>
          <c:order val="2"/>
          <c:tx>
            <c:v>deepseek_r1t2_chimera_671b</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deepseek_r1t2_chimera_671b!$C$2:$C$51</c:f>
              <c:numCache>
                <c:formatCode>General</c:formatCode>
                <c:ptCount val="50"/>
                <c:pt idx="0">
                  <c:v>0.9</c:v>
                </c:pt>
                <c:pt idx="1">
                  <c:v>1</c:v>
                </c:pt>
                <c:pt idx="2">
                  <c:v>1</c:v>
                </c:pt>
                <c:pt idx="3">
                  <c:v>1</c:v>
                </c:pt>
                <c:pt idx="4">
                  <c:v>1</c:v>
                </c:pt>
                <c:pt idx="5">
                  <c:v>1</c:v>
                </c:pt>
                <c:pt idx="6">
                  <c:v>1</c:v>
                </c:pt>
                <c:pt idx="7">
                  <c:v>1</c:v>
                </c:pt>
                <c:pt idx="8">
                  <c:v>0.8</c:v>
                </c:pt>
                <c:pt idx="9">
                  <c:v>1</c:v>
                </c:pt>
                <c:pt idx="10">
                  <c:v>0.9</c:v>
                </c:pt>
                <c:pt idx="11">
                  <c:v>1</c:v>
                </c:pt>
                <c:pt idx="12">
                  <c:v>1</c:v>
                </c:pt>
                <c:pt idx="13">
                  <c:v>1</c:v>
                </c:pt>
                <c:pt idx="14">
                  <c:v>1</c:v>
                </c:pt>
                <c:pt idx="15">
                  <c:v>1</c:v>
                </c:pt>
                <c:pt idx="16">
                  <c:v>0.4</c:v>
                </c:pt>
                <c:pt idx="17">
                  <c:v>0.3</c:v>
                </c:pt>
                <c:pt idx="18">
                  <c:v>0.2</c:v>
                </c:pt>
                <c:pt idx="19">
                  <c:v>1</c:v>
                </c:pt>
                <c:pt idx="20">
                  <c:v>1</c:v>
                </c:pt>
                <c:pt idx="21">
                  <c:v>0.9</c:v>
                </c:pt>
                <c:pt idx="22">
                  <c:v>1</c:v>
                </c:pt>
                <c:pt idx="23">
                  <c:v>1</c:v>
                </c:pt>
                <c:pt idx="24">
                  <c:v>0.9</c:v>
                </c:pt>
                <c:pt idx="25">
                  <c:v>0.9</c:v>
                </c:pt>
                <c:pt idx="26">
                  <c:v>1</c:v>
                </c:pt>
                <c:pt idx="27">
                  <c:v>1</c:v>
                </c:pt>
                <c:pt idx="28">
                  <c:v>1</c:v>
                </c:pt>
                <c:pt idx="29">
                  <c:v>1</c:v>
                </c:pt>
                <c:pt idx="30">
                  <c:v>1</c:v>
                </c:pt>
                <c:pt idx="31">
                  <c:v>1</c:v>
                </c:pt>
                <c:pt idx="32">
                  <c:v>0.9</c:v>
                </c:pt>
                <c:pt idx="33">
                  <c:v>0.3</c:v>
                </c:pt>
                <c:pt idx="34">
                  <c:v>1</c:v>
                </c:pt>
                <c:pt idx="35">
                  <c:v>1</c:v>
                </c:pt>
                <c:pt idx="36">
                  <c:v>1</c:v>
                </c:pt>
                <c:pt idx="37">
                  <c:v>1</c:v>
                </c:pt>
                <c:pt idx="38">
                  <c:v>1</c:v>
                </c:pt>
                <c:pt idx="39">
                  <c:v>1</c:v>
                </c:pt>
                <c:pt idx="40">
                  <c:v>1</c:v>
                </c:pt>
                <c:pt idx="41">
                  <c:v>1</c:v>
                </c:pt>
                <c:pt idx="42">
                  <c:v>1</c:v>
                </c:pt>
                <c:pt idx="43">
                  <c:v>1</c:v>
                </c:pt>
                <c:pt idx="44">
                  <c:v>1</c:v>
                </c:pt>
                <c:pt idx="45">
                  <c:v>1</c:v>
                </c:pt>
                <c:pt idx="46">
                  <c:v>0.7</c:v>
                </c:pt>
                <c:pt idx="47">
                  <c:v>0.9</c:v>
                </c:pt>
                <c:pt idx="48">
                  <c:v>1</c:v>
                </c:pt>
                <c:pt idx="49">
                  <c:v>0.6</c:v>
                </c:pt>
              </c:numCache>
            </c:numRef>
          </c:val>
          <c:extLst>
            <c:ext xmlns:c16="http://schemas.microsoft.com/office/drawing/2014/chart" uri="{C3380CC4-5D6E-409C-BE32-E72D297353CC}">
              <c16:uniqueId val="{00000002-C1AB-4BEC-AE1E-C1906585A57A}"/>
            </c:ext>
          </c:extLst>
        </c:ser>
        <c:ser>
          <c:idx val="3"/>
          <c:order val="3"/>
          <c:tx>
            <c:v>Xiaomi_mimoV2_flash_15b_309b</c:v>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Xiaomi_mimoV2_flash_15b_309b!$C$2:$C$51</c:f>
              <c:numCache>
                <c:formatCode>General</c:formatCode>
                <c:ptCount val="50"/>
                <c:pt idx="0">
                  <c:v>1</c:v>
                </c:pt>
                <c:pt idx="1">
                  <c:v>1</c:v>
                </c:pt>
                <c:pt idx="2">
                  <c:v>0.9</c:v>
                </c:pt>
                <c:pt idx="3">
                  <c:v>1</c:v>
                </c:pt>
                <c:pt idx="4">
                  <c:v>1</c:v>
                </c:pt>
                <c:pt idx="5">
                  <c:v>1</c:v>
                </c:pt>
                <c:pt idx="6">
                  <c:v>0.9</c:v>
                </c:pt>
                <c:pt idx="7">
                  <c:v>0.9</c:v>
                </c:pt>
                <c:pt idx="8">
                  <c:v>1</c:v>
                </c:pt>
                <c:pt idx="9">
                  <c:v>0.2</c:v>
                </c:pt>
                <c:pt idx="10">
                  <c:v>1</c:v>
                </c:pt>
                <c:pt idx="11">
                  <c:v>1</c:v>
                </c:pt>
                <c:pt idx="12">
                  <c:v>0.3</c:v>
                </c:pt>
                <c:pt idx="13">
                  <c:v>1</c:v>
                </c:pt>
                <c:pt idx="14">
                  <c:v>0.9</c:v>
                </c:pt>
                <c:pt idx="15">
                  <c:v>0.8</c:v>
                </c:pt>
                <c:pt idx="16">
                  <c:v>0.7</c:v>
                </c:pt>
                <c:pt idx="17">
                  <c:v>0.8</c:v>
                </c:pt>
                <c:pt idx="18">
                  <c:v>1</c:v>
                </c:pt>
                <c:pt idx="19">
                  <c:v>1</c:v>
                </c:pt>
                <c:pt idx="20">
                  <c:v>0.9</c:v>
                </c:pt>
                <c:pt idx="21">
                  <c:v>1</c:v>
                </c:pt>
                <c:pt idx="22">
                  <c:v>1</c:v>
                </c:pt>
                <c:pt idx="23">
                  <c:v>0.4</c:v>
                </c:pt>
                <c:pt idx="24">
                  <c:v>1</c:v>
                </c:pt>
                <c:pt idx="25">
                  <c:v>1</c:v>
                </c:pt>
                <c:pt idx="26">
                  <c:v>0.9</c:v>
                </c:pt>
                <c:pt idx="27">
                  <c:v>1</c:v>
                </c:pt>
                <c:pt idx="28">
                  <c:v>1</c:v>
                </c:pt>
                <c:pt idx="29">
                  <c:v>0.6</c:v>
                </c:pt>
                <c:pt idx="30">
                  <c:v>1</c:v>
                </c:pt>
                <c:pt idx="31">
                  <c:v>1</c:v>
                </c:pt>
                <c:pt idx="32">
                  <c:v>1</c:v>
                </c:pt>
                <c:pt idx="33">
                  <c:v>1</c:v>
                </c:pt>
                <c:pt idx="34">
                  <c:v>1</c:v>
                </c:pt>
                <c:pt idx="35">
                  <c:v>0.8</c:v>
                </c:pt>
                <c:pt idx="36">
                  <c:v>0.9</c:v>
                </c:pt>
                <c:pt idx="37">
                  <c:v>1</c:v>
                </c:pt>
                <c:pt idx="38">
                  <c:v>0.9</c:v>
                </c:pt>
                <c:pt idx="39">
                  <c:v>0.9</c:v>
                </c:pt>
                <c:pt idx="40">
                  <c:v>1</c:v>
                </c:pt>
                <c:pt idx="41">
                  <c:v>1</c:v>
                </c:pt>
                <c:pt idx="42">
                  <c:v>1</c:v>
                </c:pt>
                <c:pt idx="43">
                  <c:v>1</c:v>
                </c:pt>
                <c:pt idx="44">
                  <c:v>1</c:v>
                </c:pt>
                <c:pt idx="45">
                  <c:v>1</c:v>
                </c:pt>
                <c:pt idx="46">
                  <c:v>0.7</c:v>
                </c:pt>
                <c:pt idx="47">
                  <c:v>0.7</c:v>
                </c:pt>
                <c:pt idx="48">
                  <c:v>1</c:v>
                </c:pt>
                <c:pt idx="49">
                  <c:v>1</c:v>
                </c:pt>
              </c:numCache>
            </c:numRef>
          </c:val>
          <c:extLst>
            <c:ext xmlns:c16="http://schemas.microsoft.com/office/drawing/2014/chart" uri="{C3380CC4-5D6E-409C-BE32-E72D297353CC}">
              <c16:uniqueId val="{00000003-C1AB-4BEC-AE1E-C1906585A57A}"/>
            </c:ext>
          </c:extLst>
        </c:ser>
        <c:ser>
          <c:idx val="4"/>
          <c:order val="4"/>
          <c:tx>
            <c:v>mistral_devstral2_123b</c:v>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Mistral_devstral2_123b!$C$2:$C$51</c:f>
              <c:numCache>
                <c:formatCode>General</c:formatCode>
                <c:ptCount val="50"/>
                <c:pt idx="0">
                  <c:v>1</c:v>
                </c:pt>
                <c:pt idx="1">
                  <c:v>1</c:v>
                </c:pt>
                <c:pt idx="2">
                  <c:v>1</c:v>
                </c:pt>
                <c:pt idx="3">
                  <c:v>1</c:v>
                </c:pt>
                <c:pt idx="4">
                  <c:v>0.9</c:v>
                </c:pt>
                <c:pt idx="5">
                  <c:v>1</c:v>
                </c:pt>
                <c:pt idx="6">
                  <c:v>1</c:v>
                </c:pt>
                <c:pt idx="7">
                  <c:v>1</c:v>
                </c:pt>
                <c:pt idx="8">
                  <c:v>1</c:v>
                </c:pt>
                <c:pt idx="9">
                  <c:v>0.9</c:v>
                </c:pt>
                <c:pt idx="10">
                  <c:v>1</c:v>
                </c:pt>
                <c:pt idx="11">
                  <c:v>1</c:v>
                </c:pt>
                <c:pt idx="12">
                  <c:v>1</c:v>
                </c:pt>
                <c:pt idx="13">
                  <c:v>1</c:v>
                </c:pt>
                <c:pt idx="14">
                  <c:v>1</c:v>
                </c:pt>
                <c:pt idx="15">
                  <c:v>0.3</c:v>
                </c:pt>
                <c:pt idx="16">
                  <c:v>1</c:v>
                </c:pt>
                <c:pt idx="17">
                  <c:v>0.3</c:v>
                </c:pt>
                <c:pt idx="18">
                  <c:v>1</c:v>
                </c:pt>
                <c:pt idx="19">
                  <c:v>1</c:v>
                </c:pt>
                <c:pt idx="20">
                  <c:v>0.9</c:v>
                </c:pt>
                <c:pt idx="21">
                  <c:v>0.9</c:v>
                </c:pt>
                <c:pt idx="22">
                  <c:v>1</c:v>
                </c:pt>
                <c:pt idx="23">
                  <c:v>1</c:v>
                </c:pt>
                <c:pt idx="24">
                  <c:v>0.4</c:v>
                </c:pt>
                <c:pt idx="25">
                  <c:v>1</c:v>
                </c:pt>
                <c:pt idx="26">
                  <c:v>1</c:v>
                </c:pt>
                <c:pt idx="27">
                  <c:v>1</c:v>
                </c:pt>
                <c:pt idx="28">
                  <c:v>0.7</c:v>
                </c:pt>
                <c:pt idx="29">
                  <c:v>1</c:v>
                </c:pt>
                <c:pt idx="30">
                  <c:v>1</c:v>
                </c:pt>
                <c:pt idx="31">
                  <c:v>1</c:v>
                </c:pt>
                <c:pt idx="32">
                  <c:v>0.9</c:v>
                </c:pt>
                <c:pt idx="33">
                  <c:v>1</c:v>
                </c:pt>
                <c:pt idx="34">
                  <c:v>0.9</c:v>
                </c:pt>
                <c:pt idx="35">
                  <c:v>0.4</c:v>
                </c:pt>
                <c:pt idx="36">
                  <c:v>0.9</c:v>
                </c:pt>
                <c:pt idx="37">
                  <c:v>1</c:v>
                </c:pt>
                <c:pt idx="38">
                  <c:v>0.4</c:v>
                </c:pt>
                <c:pt idx="39">
                  <c:v>0.9</c:v>
                </c:pt>
                <c:pt idx="40">
                  <c:v>1</c:v>
                </c:pt>
                <c:pt idx="41">
                  <c:v>1</c:v>
                </c:pt>
                <c:pt idx="42">
                  <c:v>1</c:v>
                </c:pt>
                <c:pt idx="43">
                  <c:v>1</c:v>
                </c:pt>
                <c:pt idx="44">
                  <c:v>1</c:v>
                </c:pt>
                <c:pt idx="45">
                  <c:v>0.3</c:v>
                </c:pt>
                <c:pt idx="46">
                  <c:v>0.6</c:v>
                </c:pt>
                <c:pt idx="47">
                  <c:v>0.9</c:v>
                </c:pt>
                <c:pt idx="48">
                  <c:v>1</c:v>
                </c:pt>
                <c:pt idx="49">
                  <c:v>1</c:v>
                </c:pt>
              </c:numCache>
            </c:numRef>
          </c:val>
          <c:extLst>
            <c:ext xmlns:c16="http://schemas.microsoft.com/office/drawing/2014/chart" uri="{C3380CC4-5D6E-409C-BE32-E72D297353CC}">
              <c16:uniqueId val="{00000004-C1AB-4BEC-AE1E-C1906585A57A}"/>
            </c:ext>
          </c:extLst>
        </c:ser>
        <c:dLbls>
          <c:dLblPos val="outEnd"/>
          <c:showLegendKey val="0"/>
          <c:showVal val="1"/>
          <c:showCatName val="0"/>
          <c:showSerName val="0"/>
          <c:showPercent val="0"/>
          <c:showBubbleSize val="0"/>
        </c:dLbls>
        <c:gapWidth val="150"/>
        <c:axId val="630272591"/>
        <c:axId val="630273551"/>
      </c:barChart>
      <c:catAx>
        <c:axId val="63027259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0273551"/>
        <c:crosses val="autoZero"/>
        <c:auto val="1"/>
        <c:lblAlgn val="ctr"/>
        <c:lblOffset val="100"/>
        <c:noMultiLvlLbl val="0"/>
      </c:catAx>
      <c:valAx>
        <c:axId val="630273551"/>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Calificación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0">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027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247650</xdr:colOff>
      <xdr:row>1</xdr:row>
      <xdr:rowOff>28575</xdr:rowOff>
    </xdr:from>
    <xdr:to>
      <xdr:col>10</xdr:col>
      <xdr:colOff>247650</xdr:colOff>
      <xdr:row>15</xdr:row>
      <xdr:rowOff>104775</xdr:rowOff>
    </xdr:to>
    <xdr:graphicFrame macro="">
      <xdr:nvGraphicFramePr>
        <xdr:cNvPr id="2" name="Gráfico 1">
          <a:extLst>
            <a:ext uri="{FF2B5EF4-FFF2-40B4-BE49-F238E27FC236}">
              <a16:creationId xmlns:a16="http://schemas.microsoft.com/office/drawing/2014/main" id="{447FC2FA-DDB3-7F62-4EFC-4B88F3225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738187</xdr:colOff>
      <xdr:row>21</xdr:row>
      <xdr:rowOff>1</xdr:rowOff>
    </xdr:from>
    <xdr:to>
      <xdr:col>19</xdr:col>
      <xdr:colOff>47624</xdr:colOff>
      <xdr:row>36</xdr:row>
      <xdr:rowOff>119063</xdr:rowOff>
    </xdr:to>
    <xdr:graphicFrame macro="">
      <xdr:nvGraphicFramePr>
        <xdr:cNvPr id="4" name="Gráfico 3">
          <a:extLst>
            <a:ext uri="{FF2B5EF4-FFF2-40B4-BE49-F238E27FC236}">
              <a16:creationId xmlns:a16="http://schemas.microsoft.com/office/drawing/2014/main" id="{AAB92591-C7F0-8700-B4DD-27FA3B807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748394</xdr:colOff>
      <xdr:row>37</xdr:row>
      <xdr:rowOff>88756</xdr:rowOff>
    </xdr:from>
    <xdr:to>
      <xdr:col>18</xdr:col>
      <xdr:colOff>761999</xdr:colOff>
      <xdr:row>55</xdr:row>
      <xdr:rowOff>148338</xdr:rowOff>
    </xdr:to>
    <xdr:graphicFrame macro="">
      <xdr:nvGraphicFramePr>
        <xdr:cNvPr id="5" name="Gráfico 4">
          <a:extLst>
            <a:ext uri="{FF2B5EF4-FFF2-40B4-BE49-F238E27FC236}">
              <a16:creationId xmlns:a16="http://schemas.microsoft.com/office/drawing/2014/main" id="{95F14FE5-DD55-4CA3-812E-A5D78E216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632950</xdr:colOff>
      <xdr:row>1</xdr:row>
      <xdr:rowOff>11062</xdr:rowOff>
    </xdr:from>
    <xdr:to>
      <xdr:col>28</xdr:col>
      <xdr:colOff>12210</xdr:colOff>
      <xdr:row>15</xdr:row>
      <xdr:rowOff>173294</xdr:rowOff>
    </xdr:to>
    <xdr:graphicFrame macro="">
      <xdr:nvGraphicFramePr>
        <xdr:cNvPr id="3" name="Gráfico 2">
          <a:extLst>
            <a:ext uri="{FF2B5EF4-FFF2-40B4-BE49-F238E27FC236}">
              <a16:creationId xmlns:a16="http://schemas.microsoft.com/office/drawing/2014/main" id="{BD46DE04-CDFE-0B7B-F606-3F51025B5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760397</xdr:colOff>
      <xdr:row>21</xdr:row>
      <xdr:rowOff>0</xdr:rowOff>
    </xdr:from>
    <xdr:to>
      <xdr:col>97</xdr:col>
      <xdr:colOff>297655</xdr:colOff>
      <xdr:row>36</xdr:row>
      <xdr:rowOff>119062</xdr:rowOff>
    </xdr:to>
    <xdr:graphicFrame macro="">
      <xdr:nvGraphicFramePr>
        <xdr:cNvPr id="6" name="Gráfico 5">
          <a:extLst>
            <a:ext uri="{FF2B5EF4-FFF2-40B4-BE49-F238E27FC236}">
              <a16:creationId xmlns:a16="http://schemas.microsoft.com/office/drawing/2014/main" id="{07042A88-1205-4527-881D-8D16F4B45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761998</xdr:colOff>
      <xdr:row>38</xdr:row>
      <xdr:rowOff>0</xdr:rowOff>
    </xdr:from>
    <xdr:to>
      <xdr:col>96</xdr:col>
      <xdr:colOff>59531</xdr:colOff>
      <xdr:row>56</xdr:row>
      <xdr:rowOff>59582</xdr:rowOff>
    </xdr:to>
    <xdr:graphicFrame macro="">
      <xdr:nvGraphicFramePr>
        <xdr:cNvPr id="7" name="Gráfico 6">
          <a:extLst>
            <a:ext uri="{FF2B5EF4-FFF2-40B4-BE49-F238E27FC236}">
              <a16:creationId xmlns:a16="http://schemas.microsoft.com/office/drawing/2014/main" id="{014AF237-4A55-4A8D-B15F-F873FD0A9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38A38-26DC-47E0-BF27-D9CDAAF6AA06}">
  <dimension ref="A1:AJ65"/>
  <sheetViews>
    <sheetView zoomScale="76" zoomScaleNormal="57" workbookViewId="0">
      <selection activeCell="E18" sqref="E18"/>
    </sheetView>
  </sheetViews>
  <sheetFormatPr baseColWidth="10" defaultRowHeight="15" x14ac:dyDescent="0.25"/>
  <cols>
    <col min="2" max="2" width="29.5703125" customWidth="1"/>
    <col min="3" max="3" width="21.7109375" customWidth="1"/>
  </cols>
  <sheetData>
    <row r="1" spans="1:32" x14ac:dyDescent="0.25">
      <c r="A1" s="9"/>
      <c r="B1" s="10" t="s">
        <v>1003</v>
      </c>
      <c r="C1" s="10" t="s">
        <v>1014</v>
      </c>
    </row>
    <row r="2" spans="1:32" x14ac:dyDescent="0.25">
      <c r="B2" s="10" t="s">
        <v>1013</v>
      </c>
      <c r="C2" s="10">
        <f>AVERAGE(qwen25_3b!C2:C51)</f>
        <v>0.37999999999999984</v>
      </c>
    </row>
    <row r="3" spans="1:32" x14ac:dyDescent="0.25">
      <c r="B3" s="10" t="s">
        <v>1008</v>
      </c>
      <c r="C3" s="10">
        <f>AVERAGE(gemma_7b!C2:C51)</f>
        <v>0.50199999999999978</v>
      </c>
    </row>
    <row r="4" spans="1:32" x14ac:dyDescent="0.25">
      <c r="B4" s="10" t="s">
        <v>1011</v>
      </c>
      <c r="C4" s="10">
        <f>AVERAGE(mistral_7b!C2:C51)</f>
        <v>0.48599999999999999</v>
      </c>
    </row>
    <row r="5" spans="1:32" x14ac:dyDescent="0.25">
      <c r="B5" s="10" t="s">
        <v>1012</v>
      </c>
      <c r="C5" s="10">
        <f>AVERAGE(deepseek_R1_8b!C2:C51)</f>
        <v>0.76600000000000013</v>
      </c>
    </row>
    <row r="6" spans="1:32" x14ac:dyDescent="0.25">
      <c r="B6" s="10" t="s">
        <v>1007</v>
      </c>
      <c r="C6" s="10">
        <f>AVERAGE(llama31_8b!C2:C51)</f>
        <v>0.60000000000000009</v>
      </c>
    </row>
    <row r="7" spans="1:32" x14ac:dyDescent="0.25">
      <c r="B7" s="10" t="s">
        <v>1004</v>
      </c>
      <c r="C7" s="10">
        <f>AVERAGE(llama33_70b!C2:C51)</f>
        <v>0.872</v>
      </c>
    </row>
    <row r="8" spans="1:32" x14ac:dyDescent="0.25">
      <c r="B8" s="10" t="s">
        <v>1010</v>
      </c>
      <c r="C8" s="10">
        <f>AVERAGE(Mistral_devstral2_123b!C2:C51)</f>
        <v>0.88999999999999968</v>
      </c>
    </row>
    <row r="9" spans="1:32" x14ac:dyDescent="0.25">
      <c r="B9" s="10" t="s">
        <v>1009</v>
      </c>
      <c r="C9" s="10">
        <f>AVERAGE(Xiaomi_mimoV2_flash_15b_309b!C2:C51)</f>
        <v>0.90200000000000002</v>
      </c>
      <c r="M9" s="9"/>
    </row>
    <row r="10" spans="1:32" x14ac:dyDescent="0.25">
      <c r="B10" s="10" t="s">
        <v>1005</v>
      </c>
      <c r="C10" s="10">
        <f>AVERAGE(qwen3_coder_35b_480b!C2:C51)</f>
        <v>0.85199999999999976</v>
      </c>
    </row>
    <row r="11" spans="1:32" x14ac:dyDescent="0.25">
      <c r="B11" s="10" t="s">
        <v>1006</v>
      </c>
      <c r="C11" s="10">
        <f>AVERAGE(deepseek_r1t2_chimera_671b!C2:C51)</f>
        <v>0.91199999999999992</v>
      </c>
    </row>
    <row r="13" spans="1:32" x14ac:dyDescent="0.25">
      <c r="AF13" s="9"/>
    </row>
    <row r="15" spans="1:32" x14ac:dyDescent="0.25">
      <c r="B15" s="10" t="s">
        <v>1015</v>
      </c>
      <c r="C15" s="10" t="s">
        <v>1014</v>
      </c>
    </row>
    <row r="16" spans="1:32" x14ac:dyDescent="0.25">
      <c r="B16" s="10">
        <v>1</v>
      </c>
      <c r="C16" s="10">
        <f>AVERAGE(qwen25_3b!C2,gemma_7b!C2,llama31_8b!C2,mistral_7b!C2,llama33_70b!C2,qwen3_coder_35b_480b!C2,deepseek_r1t2_chimera_671b!C2,deepseek_R1_8b!C2,Xiaomi_mimoV2_flash_15b_309b!C2,Mistral_devstral2_123b!C2)</f>
        <v>0.91000000000000014</v>
      </c>
    </row>
    <row r="17" spans="2:23" x14ac:dyDescent="0.25">
      <c r="B17" s="10">
        <v>2</v>
      </c>
      <c r="C17" s="10">
        <f>AVERAGE(qwen25_3b!C3,gemma_7b!C3,llama31_8b!C3,mistral_7b!C3,llama33_70b!C3,qwen3_coder_35b_480b!C3,deepseek_r1t2_chimera_671b!C3,deepseek_R1_8b!C3,Xiaomi_mimoV2_flash_15b_309b!C3,Mistral_devstral2_123b!C3)</f>
        <v>0.91999999999999993</v>
      </c>
    </row>
    <row r="18" spans="2:23" x14ac:dyDescent="0.25">
      <c r="B18" s="10">
        <v>3</v>
      </c>
      <c r="C18" s="10">
        <f>AVERAGE(qwen25_3b!C4,gemma_7b!C4,llama31_8b!C4,mistral_7b!C4,llama33_70b!C4,qwen3_coder_35b_480b!C4,deepseek_r1t2_chimera_671b!C4,deepseek_R1_8b!C4,Xiaomi_mimoV2_flash_15b_309b!C4,Mistral_devstral2_123b!C4)</f>
        <v>0.90999999999999992</v>
      </c>
    </row>
    <row r="19" spans="2:23" x14ac:dyDescent="0.25">
      <c r="B19" s="10">
        <v>4</v>
      </c>
      <c r="C19" s="10">
        <f>AVERAGE(qwen25_3b!C5,gemma_7b!C5,llama31_8b!C5,mistral_7b!C5,llama33_70b!C5,qwen3_coder_35b_480b!C5,deepseek_r1t2_chimera_671b!C5,deepseek_R1_8b!C5,Xiaomi_mimoV2_flash_15b_309b!C5,Mistral_devstral2_123b!C5)</f>
        <v>0.93</v>
      </c>
    </row>
    <row r="20" spans="2:23" x14ac:dyDescent="0.25">
      <c r="B20" s="10">
        <v>5</v>
      </c>
      <c r="C20" s="10">
        <f>AVERAGE(qwen25_3b!C6,gemma_7b!C6,llama31_8b!C6,mistral_7b!C6,llama33_70b!C6,qwen3_coder_35b_480b!C6,deepseek_r1t2_chimera_671b!C6,deepseek_R1_8b!C6,Xiaomi_mimoV2_flash_15b_309b!C6,Mistral_devstral2_123b!C6)</f>
        <v>0.98000000000000009</v>
      </c>
    </row>
    <row r="21" spans="2:23" x14ac:dyDescent="0.25">
      <c r="B21" s="10">
        <v>6</v>
      </c>
      <c r="C21" s="10">
        <f>AVERAGE(qwen25_3b!C7,gemma_7b!C7,llama31_8b!C7,mistral_7b!C7,llama33_70b!C7,qwen3_coder_35b_480b!C7,deepseek_r1t2_chimera_671b!C7,deepseek_R1_8b!C7,Xiaomi_mimoV2_flash_15b_309b!C7,Mistral_devstral2_123b!C7)</f>
        <v>0.78</v>
      </c>
    </row>
    <row r="22" spans="2:23" x14ac:dyDescent="0.25">
      <c r="B22" s="10">
        <v>7</v>
      </c>
      <c r="C22" s="10">
        <f>AVERAGE(qwen25_3b!C8,gemma_7b!C8,llama31_8b!C8,mistral_7b!C8,llama33_70b!C8,qwen3_coder_35b_480b!C8,deepseek_r1t2_chimera_671b!C8,deepseek_R1_8b!C8,Xiaomi_mimoV2_flash_15b_309b!C8,Mistral_devstral2_123b!C8)</f>
        <v>0.77</v>
      </c>
    </row>
    <row r="23" spans="2:23" x14ac:dyDescent="0.25">
      <c r="B23" s="10">
        <v>8</v>
      </c>
      <c r="C23" s="10">
        <f>AVERAGE(qwen25_3b!C9,gemma_7b!C9,llama31_8b!C9,mistral_7b!C9,llama33_70b!C9,qwen3_coder_35b_480b!C9,deepseek_r1t2_chimera_671b!C9,deepseek_R1_8b!C9,Xiaomi_mimoV2_flash_15b_309b!C9,Mistral_devstral2_123b!C9)</f>
        <v>0.79</v>
      </c>
    </row>
    <row r="24" spans="2:23" x14ac:dyDescent="0.25">
      <c r="B24" s="10">
        <v>9</v>
      </c>
      <c r="C24" s="10">
        <f>AVERAGE(qwen25_3b!C10,gemma_7b!C10,llama31_8b!C10,mistral_7b!C10,llama33_70b!C10,qwen3_coder_35b_480b!C10,deepseek_r1t2_chimera_671b!C10,deepseek_R1_8b!C10,Xiaomi_mimoV2_flash_15b_309b!C10,Mistral_devstral2_123b!C10)</f>
        <v>0.88000000000000012</v>
      </c>
      <c r="W24" s="9"/>
    </row>
    <row r="25" spans="2:23" x14ac:dyDescent="0.25">
      <c r="B25" s="10">
        <v>10</v>
      </c>
      <c r="C25" s="10">
        <f>AVERAGE(qwen25_3b!C11,gemma_7b!C11,llama31_8b!C11,mistral_7b!C11,llama33_70b!C11,qwen3_coder_35b_480b!C11,deepseek_r1t2_chimera_671b!C11,deepseek_R1_8b!C11,Xiaomi_mimoV2_flash_15b_309b!C11,Mistral_devstral2_123b!C11)</f>
        <v>0.60000000000000009</v>
      </c>
    </row>
    <row r="26" spans="2:23" x14ac:dyDescent="0.25">
      <c r="B26" s="10">
        <v>11</v>
      </c>
      <c r="C26" s="10">
        <f>AVERAGE(qwen25_3b!C12,gemma_7b!C12,llama31_8b!C12,mistral_7b!C12,llama33_70b!C12,qwen3_coder_35b_480b!C12,deepseek_r1t2_chimera_671b!C12,deepseek_R1_8b!C12,Xiaomi_mimoV2_flash_15b_309b!C12,Mistral_devstral2_123b!C12)</f>
        <v>0.76</v>
      </c>
    </row>
    <row r="27" spans="2:23" x14ac:dyDescent="0.25">
      <c r="B27" s="10">
        <v>12</v>
      </c>
      <c r="C27" s="10">
        <f>AVERAGE(qwen25_3b!C13,gemma_7b!C13,llama31_8b!C13,mistral_7b!C13,llama33_70b!C13,qwen3_coder_35b_480b!C13,deepseek_r1t2_chimera_671b!C13,deepseek_R1_8b!C13,Xiaomi_mimoV2_flash_15b_309b!C13,Mistral_devstral2_123b!C13)</f>
        <v>0.6399999999999999</v>
      </c>
    </row>
    <row r="28" spans="2:23" x14ac:dyDescent="0.25">
      <c r="B28" s="10">
        <v>13</v>
      </c>
      <c r="C28" s="10">
        <f>AVERAGE(qwen25_3b!C14,gemma_7b!C14,llama31_8b!C14,mistral_7b!C14,llama33_70b!C14,qwen3_coder_35b_480b!C14,deepseek_r1t2_chimera_671b!C14,deepseek_R1_8b!C14,Xiaomi_mimoV2_flash_15b_309b!C14,Mistral_devstral2_123b!C14)</f>
        <v>0.55999999999999994</v>
      </c>
    </row>
    <row r="29" spans="2:23" x14ac:dyDescent="0.25">
      <c r="B29" s="10">
        <v>14</v>
      </c>
      <c r="C29" s="10">
        <f>AVERAGE(qwen25_3b!C15,gemma_7b!C15,llama31_8b!C15,mistral_7b!C15,llama33_70b!C15,qwen3_coder_35b_480b!C15,deepseek_r1t2_chimera_671b!C15,deepseek_R1_8b!C15,Xiaomi_mimoV2_flash_15b_309b!C15,Mistral_devstral2_123b!C15)</f>
        <v>0.67</v>
      </c>
    </row>
    <row r="30" spans="2:23" x14ac:dyDescent="0.25">
      <c r="B30" s="10">
        <v>15</v>
      </c>
      <c r="C30" s="10">
        <f>AVERAGE(qwen25_3b!C16,gemma_7b!C16,llama31_8b!C16,mistral_7b!C16,llama33_70b!C16,qwen3_coder_35b_480b!C16,deepseek_r1t2_chimera_671b!C16,deepseek_R1_8b!C16,Xiaomi_mimoV2_flash_15b_309b!C16,Mistral_devstral2_123b!C16)</f>
        <v>0.81000000000000016</v>
      </c>
    </row>
    <row r="31" spans="2:23" x14ac:dyDescent="0.25">
      <c r="B31" s="10">
        <v>16</v>
      </c>
      <c r="C31" s="10">
        <f>AVERAGE(qwen25_3b!C17,gemma_7b!C17,llama31_8b!C17,mistral_7b!C17,llama33_70b!C17,qwen3_coder_35b_480b!C17,deepseek_r1t2_chimera_671b!C17,deepseek_R1_8b!C17,Xiaomi_mimoV2_flash_15b_309b!C17,Mistral_devstral2_123b!C17)</f>
        <v>0.53</v>
      </c>
    </row>
    <row r="32" spans="2:23" x14ac:dyDescent="0.25">
      <c r="B32" s="10">
        <v>17</v>
      </c>
      <c r="C32" s="10">
        <f>AVERAGE(qwen25_3b!C18,gemma_7b!C18,llama31_8b!C18,mistral_7b!C18,llama33_70b!C18,qwen3_coder_35b_480b!C18,deepseek_r1t2_chimera_671b!C18,deepseek_R1_8b!C18,Xiaomi_mimoV2_flash_15b_309b!C18,Mistral_devstral2_123b!C18)</f>
        <v>0.45999999999999996</v>
      </c>
    </row>
    <row r="33" spans="2:3" x14ac:dyDescent="0.25">
      <c r="B33" s="10">
        <v>18</v>
      </c>
      <c r="C33" s="10">
        <f>AVERAGE(qwen25_3b!C19,gemma_7b!C19,llama31_8b!C19,mistral_7b!C19,llama33_70b!C19,qwen3_coder_35b_480b!C19,deepseek_r1t2_chimera_671b!C19,deepseek_R1_8b!C19,Xiaomi_mimoV2_flash_15b_309b!C19,Mistral_devstral2_123b!C19)</f>
        <v>0.41</v>
      </c>
    </row>
    <row r="34" spans="2:3" x14ac:dyDescent="0.25">
      <c r="B34" s="10">
        <v>19</v>
      </c>
      <c r="C34" s="10">
        <f>AVERAGE(qwen25_3b!C20,gemma_7b!C20,llama31_8b!C20,mistral_7b!C20,llama33_70b!C20,qwen3_coder_35b_480b!C20,deepseek_r1t2_chimera_671b!C20,deepseek_R1_8b!C20,Xiaomi_mimoV2_flash_15b_309b!C20,Mistral_devstral2_123b!C20)</f>
        <v>0.55999999999999994</v>
      </c>
    </row>
    <row r="35" spans="2:3" x14ac:dyDescent="0.25">
      <c r="B35" s="10">
        <v>20</v>
      </c>
      <c r="C35" s="10">
        <f>AVERAGE(qwen25_3b!C21,gemma_7b!C21,llama31_8b!C21,mistral_7b!C21,llama33_70b!C21,qwen3_coder_35b_480b!C21,deepseek_r1t2_chimera_671b!C21,deepseek_R1_8b!C21,Xiaomi_mimoV2_flash_15b_309b!C21,Mistral_devstral2_123b!C21)</f>
        <v>0.84000000000000008</v>
      </c>
    </row>
    <row r="36" spans="2:3" x14ac:dyDescent="0.25">
      <c r="B36" s="10">
        <v>21</v>
      </c>
      <c r="C36" s="10">
        <f>AVERAGE(qwen25_3b!C22,gemma_7b!C22,llama31_8b!C22,mistral_7b!C22,llama33_70b!C22,qwen3_coder_35b_480b!C22,deepseek_r1t2_chimera_671b!C22,deepseek_R1_8b!C22,Xiaomi_mimoV2_flash_15b_309b!C22,Mistral_devstral2_123b!C22)</f>
        <v>0.68000000000000016</v>
      </c>
    </row>
    <row r="37" spans="2:3" x14ac:dyDescent="0.25">
      <c r="B37" s="10">
        <v>22</v>
      </c>
      <c r="C37" s="10">
        <f>AVERAGE(qwen25_3b!C23,gemma_7b!C23,llama31_8b!C23,mistral_7b!C23,llama33_70b!C23,qwen3_coder_35b_480b!C23,deepseek_r1t2_chimera_671b!C23,deepseek_R1_8b!C23,Xiaomi_mimoV2_flash_15b_309b!C23,Mistral_devstral2_123b!C23)</f>
        <v>0.57000000000000006</v>
      </c>
    </row>
    <row r="38" spans="2:3" x14ac:dyDescent="0.25">
      <c r="B38" s="10">
        <v>23</v>
      </c>
      <c r="C38" s="10">
        <f>AVERAGE(qwen25_3b!C24,gemma_7b!C24,llama31_8b!C24,mistral_7b!C24,llama33_70b!C24,qwen3_coder_35b_480b!C24,deepseek_r1t2_chimera_671b!C24,deepseek_R1_8b!C24,Xiaomi_mimoV2_flash_15b_309b!C24,Mistral_devstral2_123b!C24)</f>
        <v>0.78</v>
      </c>
    </row>
    <row r="39" spans="2:3" x14ac:dyDescent="0.25">
      <c r="B39" s="10">
        <v>24</v>
      </c>
      <c r="C39" s="10">
        <f>AVERAGE(qwen25_3b!C25,gemma_7b!C25,llama31_8b!C25,mistral_7b!C25,llama33_70b!C25,qwen3_coder_35b_480b!C25,deepseek_r1t2_chimera_671b!C25,deepseek_R1_8b!C25,Xiaomi_mimoV2_flash_15b_309b!C25,Mistral_devstral2_123b!C25)</f>
        <v>0.57000000000000006</v>
      </c>
    </row>
    <row r="40" spans="2:3" x14ac:dyDescent="0.25">
      <c r="B40" s="10">
        <v>25</v>
      </c>
      <c r="C40" s="10">
        <f>AVERAGE(qwen25_3b!C26,gemma_7b!C26,llama31_8b!C26,mistral_7b!C26,llama33_70b!C26,qwen3_coder_35b_480b!C26,deepseek_r1t2_chimera_671b!C26,deepseek_R1_8b!C26,Xiaomi_mimoV2_flash_15b_309b!C26,Mistral_devstral2_123b!C26)</f>
        <v>0.64</v>
      </c>
    </row>
    <row r="41" spans="2:3" x14ac:dyDescent="0.25">
      <c r="B41" s="10">
        <v>26</v>
      </c>
      <c r="C41" s="10">
        <f>AVERAGE(qwen25_3b!C27,gemma_7b!C27,llama31_8b!C27,mistral_7b!C27,llama33_70b!C27,qwen3_coder_35b_480b!C27,deepseek_r1t2_chimera_671b!C27,deepseek_R1_8b!C27,Xiaomi_mimoV2_flash_15b_309b!C27,Mistral_devstral2_123b!C27)</f>
        <v>0.77</v>
      </c>
    </row>
    <row r="42" spans="2:3" x14ac:dyDescent="0.25">
      <c r="B42" s="10">
        <v>27</v>
      </c>
      <c r="C42" s="10">
        <f>AVERAGE(qwen25_3b!C28,gemma_7b!C28,llama31_8b!C28,mistral_7b!C28,llama33_70b!C28,qwen3_coder_35b_480b!C28,deepseek_r1t2_chimera_671b!C28,deepseek_R1_8b!C28,Xiaomi_mimoV2_flash_15b_309b!C28,Mistral_devstral2_123b!C28)</f>
        <v>0.67</v>
      </c>
    </row>
    <row r="43" spans="2:3" x14ac:dyDescent="0.25">
      <c r="B43" s="10">
        <v>28</v>
      </c>
      <c r="C43" s="10">
        <f>AVERAGE(qwen25_3b!C29,gemma_7b!C29,llama31_8b!C29,mistral_7b!C29,llama33_70b!C29,qwen3_coder_35b_480b!C29,deepseek_r1t2_chimera_671b!C29,deepseek_R1_8b!C29,Xiaomi_mimoV2_flash_15b_309b!C29,Mistral_devstral2_123b!C29)</f>
        <v>0.74</v>
      </c>
    </row>
    <row r="44" spans="2:3" x14ac:dyDescent="0.25">
      <c r="B44" s="10">
        <v>29</v>
      </c>
      <c r="C44" s="10">
        <f>AVERAGE(qwen25_3b!C30,gemma_7b!C30,llama31_8b!C30,mistral_7b!C30,llama33_70b!C30,qwen3_coder_35b_480b!C30,deepseek_r1t2_chimera_671b!C30,deepseek_R1_8b!C30,Xiaomi_mimoV2_flash_15b_309b!C30,Mistral_devstral2_123b!C30)</f>
        <v>0.72</v>
      </c>
    </row>
    <row r="45" spans="2:3" x14ac:dyDescent="0.25">
      <c r="B45" s="10">
        <v>30</v>
      </c>
      <c r="C45" s="10">
        <f>AVERAGE(qwen25_3b!C31,gemma_7b!C31,llama31_8b!C31,mistral_7b!C31,llama33_70b!C31,qwen3_coder_35b_480b!C31,deepseek_r1t2_chimera_671b!C31,deepseek_R1_8b!C31,Xiaomi_mimoV2_flash_15b_309b!C31,Mistral_devstral2_123b!C31)</f>
        <v>0.76</v>
      </c>
    </row>
    <row r="46" spans="2:3" x14ac:dyDescent="0.25">
      <c r="B46" s="10">
        <v>31</v>
      </c>
      <c r="C46" s="10">
        <f>AVERAGE(qwen25_3b!C32,gemma_7b!C32,llama31_8b!C32,mistral_7b!C32,llama33_70b!C32,qwen3_coder_35b_480b!C32,deepseek_r1t2_chimera_671b!C32,deepseek_R1_8b!C32,Xiaomi_mimoV2_flash_15b_309b!C32,Mistral_devstral2_123b!C32)</f>
        <v>0.80999999999999994</v>
      </c>
    </row>
    <row r="47" spans="2:3" x14ac:dyDescent="0.25">
      <c r="B47" s="10">
        <v>32</v>
      </c>
      <c r="C47" s="10">
        <f>AVERAGE(qwen25_3b!C33,gemma_7b!C33,llama31_8b!C33,mistral_7b!C33,llama33_70b!C33,qwen3_coder_35b_480b!C33,deepseek_r1t2_chimera_671b!C33,deepseek_R1_8b!C33,Xiaomi_mimoV2_flash_15b_309b!C33,Mistral_devstral2_123b!C33)</f>
        <v>0.67999999999999994</v>
      </c>
    </row>
    <row r="48" spans="2:3" x14ac:dyDescent="0.25">
      <c r="B48" s="10">
        <v>33</v>
      </c>
      <c r="C48" s="10">
        <f>AVERAGE(qwen25_3b!C34,gemma_7b!C34,llama31_8b!C34,mistral_7b!C34,llama33_70b!C34,qwen3_coder_35b_480b!C34,deepseek_r1t2_chimera_671b!C34,deepseek_R1_8b!C34,Xiaomi_mimoV2_flash_15b_309b!C34,Mistral_devstral2_123b!C34)</f>
        <v>0.88000000000000012</v>
      </c>
    </row>
    <row r="49" spans="2:36" x14ac:dyDescent="0.25">
      <c r="B49" s="10">
        <v>34</v>
      </c>
      <c r="C49" s="10">
        <f>AVERAGE(qwen25_3b!C35,gemma_7b!C35,llama31_8b!C35,mistral_7b!C35,llama33_70b!C35,qwen3_coder_35b_480b!C35,deepseek_r1t2_chimera_671b!C35,deepseek_R1_8b!C35,Xiaomi_mimoV2_flash_15b_309b!C35,Mistral_devstral2_123b!C35)</f>
        <v>0.57999999999999996</v>
      </c>
    </row>
    <row r="50" spans="2:36" x14ac:dyDescent="0.25">
      <c r="B50" s="10">
        <v>35</v>
      </c>
      <c r="C50" s="10">
        <f>AVERAGE(qwen25_3b!C36,gemma_7b!C36,llama31_8b!C36,mistral_7b!C36,llama33_70b!C36,qwen3_coder_35b_480b!C36,deepseek_r1t2_chimera_671b!C36,deepseek_R1_8b!C36,Xiaomi_mimoV2_flash_15b_309b!C36,Mistral_devstral2_123b!C36)</f>
        <v>0.73000000000000009</v>
      </c>
    </row>
    <row r="51" spans="2:36" x14ac:dyDescent="0.25">
      <c r="B51" s="10">
        <v>36</v>
      </c>
      <c r="C51" s="10">
        <f>AVERAGE(qwen25_3b!C37,gemma_7b!C37,llama31_8b!C37,mistral_7b!C37,llama33_70b!C37,qwen3_coder_35b_480b!C37,deepseek_r1t2_chimera_671b!C37,deepseek_R1_8b!C37,Xiaomi_mimoV2_flash_15b_309b!C37,Mistral_devstral2_123b!C37)</f>
        <v>0.6100000000000001</v>
      </c>
    </row>
    <row r="52" spans="2:36" x14ac:dyDescent="0.25">
      <c r="B52" s="10">
        <v>37</v>
      </c>
      <c r="C52" s="10">
        <f>AVERAGE(qwen25_3b!C38,gemma_7b!C38,llama31_8b!C38,mistral_7b!C38,llama33_70b!C38,qwen3_coder_35b_480b!C38,deepseek_r1t2_chimera_671b!C38,deepseek_R1_8b!C38,Xiaomi_mimoV2_flash_15b_309b!C38,Mistral_devstral2_123b!C38)</f>
        <v>0.56000000000000005</v>
      </c>
    </row>
    <row r="53" spans="2:36" x14ac:dyDescent="0.25">
      <c r="B53" s="10">
        <v>38</v>
      </c>
      <c r="C53" s="10">
        <f>AVERAGE(qwen25_3b!C39,gemma_7b!C39,llama31_8b!C39,mistral_7b!C39,llama33_70b!C39,qwen3_coder_35b_480b!C39,deepseek_r1t2_chimera_671b!C39,deepseek_R1_8b!C39,Xiaomi_mimoV2_flash_15b_309b!C39,Mistral_devstral2_123b!C39)</f>
        <v>0.76</v>
      </c>
    </row>
    <row r="54" spans="2:36" x14ac:dyDescent="0.25">
      <c r="B54" s="10">
        <v>39</v>
      </c>
      <c r="C54" s="10">
        <f>AVERAGE(qwen25_3b!C40,gemma_7b!C40,llama31_8b!C40,mistral_7b!C40,llama33_70b!C40,qwen3_coder_35b_480b!C40,deepseek_r1t2_chimera_671b!C40,deepseek_R1_8b!C40,Xiaomi_mimoV2_flash_15b_309b!C40,Mistral_devstral2_123b!C40)</f>
        <v>0.74</v>
      </c>
    </row>
    <row r="55" spans="2:36" x14ac:dyDescent="0.25">
      <c r="B55" s="10">
        <v>40</v>
      </c>
      <c r="C55" s="10">
        <f>AVERAGE(qwen25_3b!C41,gemma_7b!C41,llama31_8b!C41,mistral_7b!C41,llama33_70b!C41,qwen3_coder_35b_480b!C41,deepseek_r1t2_chimera_671b!C41,deepseek_R1_8b!C41,Xiaomi_mimoV2_flash_15b_309b!C41,Mistral_devstral2_123b!C41)</f>
        <v>0.8</v>
      </c>
    </row>
    <row r="56" spans="2:36" x14ac:dyDescent="0.25">
      <c r="B56" s="10">
        <v>41</v>
      </c>
      <c r="C56" s="10">
        <f>AVERAGE(qwen25_3b!C42,gemma_7b!C42,llama31_8b!C42,mistral_7b!C42,llama33_70b!C42,qwen3_coder_35b_480b!C42,deepseek_r1t2_chimera_671b!C42,deepseek_R1_8b!C42,Xiaomi_mimoV2_flash_15b_309b!C42,Mistral_devstral2_123b!C42)</f>
        <v>0.79</v>
      </c>
    </row>
    <row r="57" spans="2:36" x14ac:dyDescent="0.25">
      <c r="B57" s="10">
        <v>42</v>
      </c>
      <c r="C57" s="10">
        <f>AVERAGE(qwen25_3b!C43,gemma_7b!C43,llama31_8b!C43,mistral_7b!C43,llama33_70b!C43,qwen3_coder_35b_480b!C43,deepseek_r1t2_chimera_671b!C43,deepseek_R1_8b!C43,Xiaomi_mimoV2_flash_15b_309b!C43,Mistral_devstral2_123b!C43)</f>
        <v>0.7</v>
      </c>
    </row>
    <row r="58" spans="2:36" x14ac:dyDescent="0.25">
      <c r="B58" s="10">
        <v>43</v>
      </c>
      <c r="C58" s="10">
        <f>AVERAGE(qwen25_3b!C44,gemma_7b!C44,llama31_8b!C44,mistral_7b!C44,llama33_70b!C44,qwen3_coder_35b_480b!C44,deepseek_r1t2_chimera_671b!C44,deepseek_R1_8b!C44,Xiaomi_mimoV2_flash_15b_309b!C44,Mistral_devstral2_123b!C44)</f>
        <v>0.71</v>
      </c>
      <c r="AJ58" s="9"/>
    </row>
    <row r="59" spans="2:36" x14ac:dyDescent="0.25">
      <c r="B59" s="10">
        <v>44</v>
      </c>
      <c r="C59" s="10">
        <f>AVERAGE(qwen25_3b!C45,gemma_7b!C45,llama31_8b!C45,mistral_7b!C45,llama33_70b!C45,qwen3_coder_35b_480b!C45,deepseek_r1t2_chimera_671b!C45,deepseek_R1_8b!C45,Xiaomi_mimoV2_flash_15b_309b!C45,Mistral_devstral2_123b!C45)</f>
        <v>0.93</v>
      </c>
    </row>
    <row r="60" spans="2:36" x14ac:dyDescent="0.25">
      <c r="B60" s="10">
        <v>45</v>
      </c>
      <c r="C60" s="10">
        <f>AVERAGE(qwen25_3b!C46,gemma_7b!C46,llama31_8b!C46,mistral_7b!C46,llama33_70b!C46,qwen3_coder_35b_480b!C46,deepseek_r1t2_chimera_671b!C46,deepseek_R1_8b!C46,Xiaomi_mimoV2_flash_15b_309b!C46,Mistral_devstral2_123b!C46)</f>
        <v>0.75</v>
      </c>
    </row>
    <row r="61" spans="2:36" x14ac:dyDescent="0.25">
      <c r="B61" s="10">
        <v>46</v>
      </c>
      <c r="C61" s="10">
        <f>AVERAGE(qwen25_3b!C47,gemma_7b!C47,llama31_8b!C47,mistral_7b!C47,llama33_70b!C47,qwen3_coder_35b_480b!C47,deepseek_r1t2_chimera_671b!C47,deepseek_R1_8b!C47,Xiaomi_mimoV2_flash_15b_309b!C47,Mistral_devstral2_123b!C47)</f>
        <v>0.57999999999999996</v>
      </c>
    </row>
    <row r="62" spans="2:36" x14ac:dyDescent="0.25">
      <c r="B62" s="10">
        <v>47</v>
      </c>
      <c r="C62" s="10">
        <f>AVERAGE(qwen25_3b!C48,gemma_7b!C48,llama31_8b!C48,mistral_7b!C48,llama33_70b!C48,qwen3_coder_35b_480b!C48,deepseek_r1t2_chimera_671b!C48,deepseek_R1_8b!C48,Xiaomi_mimoV2_flash_15b_309b!C48,Mistral_devstral2_123b!C48)</f>
        <v>0.57999999999999996</v>
      </c>
    </row>
    <row r="63" spans="2:36" x14ac:dyDescent="0.25">
      <c r="B63" s="10">
        <v>48</v>
      </c>
      <c r="C63" s="10">
        <f>AVERAGE(qwen25_3b!C49,gemma_7b!C49,llama31_8b!C49,mistral_7b!C49,llama33_70b!C49,qwen3_coder_35b_480b!C49,deepseek_r1t2_chimera_671b!C49,deepseek_R1_8b!C49,Xiaomi_mimoV2_flash_15b_309b!C49,Mistral_devstral2_123b!C49)</f>
        <v>0.57999999999999996</v>
      </c>
    </row>
    <row r="64" spans="2:36" x14ac:dyDescent="0.25">
      <c r="B64" s="10">
        <v>49</v>
      </c>
      <c r="C64" s="10">
        <f>AVERAGE(qwen25_3b!C50,gemma_7b!C50,llama31_8b!C50,mistral_7b!C50,llama33_70b!C50,qwen3_coder_35b_480b!C50,deepseek_r1t2_chimera_671b!C50,deepseek_R1_8b!C50,Xiaomi_mimoV2_flash_15b_309b!C50,Mistral_devstral2_123b!C50)</f>
        <v>0.84000000000000008</v>
      </c>
    </row>
    <row r="65" spans="2:3" x14ac:dyDescent="0.25">
      <c r="B65" s="10">
        <v>50</v>
      </c>
      <c r="C65" s="10">
        <f>AVERAGE(qwen25_3b!C51,gemma_7b!C51,llama31_8b!C51,mistral_7b!C51,llama33_70b!C51,qwen3_coder_35b_480b!C51,deepseek_r1t2_chimera_671b!C51,deepseek_R1_8b!C51,Xiaomi_mimoV2_flash_15b_309b!C51,Mistral_devstral2_123b!C51)</f>
        <v>0.59000000000000008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65C04-D7DD-4F44-8E76-31819A7E6609}">
  <dimension ref="A1:B51"/>
  <sheetViews>
    <sheetView workbookViewId="0"/>
  </sheetViews>
  <sheetFormatPr baseColWidth="10" defaultRowHeight="15" x14ac:dyDescent="0.25"/>
  <cols>
    <col min="1" max="1" width="23.140625" customWidth="1"/>
  </cols>
  <sheetData>
    <row r="1" spans="1:2" x14ac:dyDescent="0.25">
      <c r="A1" t="s">
        <v>1067</v>
      </c>
      <c r="B1" t="s">
        <v>1016</v>
      </c>
    </row>
    <row r="2" spans="1:2" x14ac:dyDescent="0.25">
      <c r="A2">
        <v>1</v>
      </c>
      <c r="B2" t="s">
        <v>1027</v>
      </c>
    </row>
    <row r="3" spans="1:2" x14ac:dyDescent="0.25">
      <c r="A3">
        <v>2</v>
      </c>
      <c r="B3" t="s">
        <v>1032</v>
      </c>
    </row>
    <row r="4" spans="1:2" x14ac:dyDescent="0.25">
      <c r="A4">
        <v>3</v>
      </c>
      <c r="B4" t="s">
        <v>1022</v>
      </c>
    </row>
    <row r="5" spans="1:2" x14ac:dyDescent="0.25">
      <c r="A5">
        <v>4</v>
      </c>
      <c r="B5" t="s">
        <v>1036</v>
      </c>
    </row>
    <row r="6" spans="1:2" x14ac:dyDescent="0.25">
      <c r="A6">
        <v>5</v>
      </c>
      <c r="B6" t="s">
        <v>1028</v>
      </c>
    </row>
    <row r="7" spans="1:2" x14ac:dyDescent="0.25">
      <c r="A7">
        <v>6</v>
      </c>
      <c r="B7" t="s">
        <v>1024</v>
      </c>
    </row>
    <row r="8" spans="1:2" x14ac:dyDescent="0.25">
      <c r="A8">
        <v>7</v>
      </c>
      <c r="B8" t="s">
        <v>1030</v>
      </c>
    </row>
    <row r="9" spans="1:2" x14ac:dyDescent="0.25">
      <c r="A9">
        <v>8</v>
      </c>
      <c r="B9" t="s">
        <v>1020</v>
      </c>
    </row>
    <row r="10" spans="1:2" x14ac:dyDescent="0.25">
      <c r="A10">
        <v>9</v>
      </c>
      <c r="B10" t="s">
        <v>1034</v>
      </c>
    </row>
    <row r="11" spans="1:2" x14ac:dyDescent="0.25">
      <c r="A11">
        <v>10</v>
      </c>
      <c r="B11" t="s">
        <v>1035</v>
      </c>
    </row>
    <row r="12" spans="1:2" x14ac:dyDescent="0.25">
      <c r="A12">
        <v>11</v>
      </c>
      <c r="B12" t="s">
        <v>1017</v>
      </c>
    </row>
    <row r="13" spans="1:2" x14ac:dyDescent="0.25">
      <c r="A13">
        <v>12</v>
      </c>
      <c r="B13" t="s">
        <v>1023</v>
      </c>
    </row>
    <row r="14" spans="1:2" x14ac:dyDescent="0.25">
      <c r="A14">
        <v>13</v>
      </c>
      <c r="B14" t="s">
        <v>1033</v>
      </c>
    </row>
    <row r="15" spans="1:2" x14ac:dyDescent="0.25">
      <c r="A15">
        <v>14</v>
      </c>
      <c r="B15" t="s">
        <v>1018</v>
      </c>
    </row>
    <row r="16" spans="1:2" x14ac:dyDescent="0.25">
      <c r="A16">
        <v>15</v>
      </c>
      <c r="B16" t="s">
        <v>1025</v>
      </c>
    </row>
    <row r="17" spans="1:2" x14ac:dyDescent="0.25">
      <c r="A17">
        <v>16</v>
      </c>
      <c r="B17" t="s">
        <v>1019</v>
      </c>
    </row>
    <row r="18" spans="1:2" x14ac:dyDescent="0.25">
      <c r="A18">
        <v>17</v>
      </c>
      <c r="B18" t="s">
        <v>1026</v>
      </c>
    </row>
    <row r="19" spans="1:2" x14ac:dyDescent="0.25">
      <c r="A19">
        <v>18</v>
      </c>
      <c r="B19" t="s">
        <v>1031</v>
      </c>
    </row>
    <row r="20" spans="1:2" x14ac:dyDescent="0.25">
      <c r="A20">
        <v>19</v>
      </c>
      <c r="B20" t="s">
        <v>1029</v>
      </c>
    </row>
    <row r="21" spans="1:2" x14ac:dyDescent="0.25">
      <c r="A21">
        <v>20</v>
      </c>
      <c r="B21" t="s">
        <v>1021</v>
      </c>
    </row>
    <row r="22" spans="1:2" x14ac:dyDescent="0.25">
      <c r="A22">
        <v>21</v>
      </c>
      <c r="B22" t="s">
        <v>1038</v>
      </c>
    </row>
    <row r="23" spans="1:2" x14ac:dyDescent="0.25">
      <c r="A23">
        <v>22</v>
      </c>
      <c r="B23" t="s">
        <v>1048</v>
      </c>
    </row>
    <row r="24" spans="1:2" x14ac:dyDescent="0.25">
      <c r="A24">
        <v>23</v>
      </c>
      <c r="B24" t="s">
        <v>1056</v>
      </c>
    </row>
    <row r="25" spans="1:2" x14ac:dyDescent="0.25">
      <c r="A25">
        <v>24</v>
      </c>
      <c r="B25" t="s">
        <v>1037</v>
      </c>
    </row>
    <row r="26" spans="1:2" x14ac:dyDescent="0.25">
      <c r="A26">
        <v>25</v>
      </c>
      <c r="B26" t="s">
        <v>1039</v>
      </c>
    </row>
    <row r="27" spans="1:2" x14ac:dyDescent="0.25">
      <c r="A27">
        <v>26</v>
      </c>
      <c r="B27" t="s">
        <v>1041</v>
      </c>
    </row>
    <row r="28" spans="1:2" x14ac:dyDescent="0.25">
      <c r="A28">
        <v>27</v>
      </c>
      <c r="B28" t="s">
        <v>1040</v>
      </c>
    </row>
    <row r="29" spans="1:2" x14ac:dyDescent="0.25">
      <c r="A29">
        <v>28</v>
      </c>
      <c r="B29" t="s">
        <v>1042</v>
      </c>
    </row>
    <row r="30" spans="1:2" x14ac:dyDescent="0.25">
      <c r="A30">
        <v>29</v>
      </c>
      <c r="B30" t="s">
        <v>1043</v>
      </c>
    </row>
    <row r="31" spans="1:2" x14ac:dyDescent="0.25">
      <c r="A31">
        <v>30</v>
      </c>
      <c r="B31" t="s">
        <v>1045</v>
      </c>
    </row>
    <row r="32" spans="1:2" x14ac:dyDescent="0.25">
      <c r="A32">
        <v>31</v>
      </c>
      <c r="B32" t="s">
        <v>1051</v>
      </c>
    </row>
    <row r="33" spans="1:2" x14ac:dyDescent="0.25">
      <c r="A33">
        <v>32</v>
      </c>
      <c r="B33" t="s">
        <v>1047</v>
      </c>
    </row>
    <row r="34" spans="1:2" x14ac:dyDescent="0.25">
      <c r="A34">
        <v>33</v>
      </c>
      <c r="B34" t="s">
        <v>1053</v>
      </c>
    </row>
    <row r="35" spans="1:2" x14ac:dyDescent="0.25">
      <c r="A35">
        <v>34</v>
      </c>
      <c r="B35" t="s">
        <v>1057</v>
      </c>
    </row>
    <row r="36" spans="1:2" x14ac:dyDescent="0.25">
      <c r="A36">
        <v>35</v>
      </c>
      <c r="B36" t="s">
        <v>1046</v>
      </c>
    </row>
    <row r="37" spans="1:2" x14ac:dyDescent="0.25">
      <c r="A37">
        <v>36</v>
      </c>
      <c r="B37" t="s">
        <v>1049</v>
      </c>
    </row>
    <row r="38" spans="1:2" x14ac:dyDescent="0.25">
      <c r="A38">
        <v>37</v>
      </c>
      <c r="B38" t="s">
        <v>1052</v>
      </c>
    </row>
    <row r="39" spans="1:2" x14ac:dyDescent="0.25">
      <c r="A39">
        <v>38</v>
      </c>
      <c r="B39" t="s">
        <v>1044</v>
      </c>
    </row>
    <row r="40" spans="1:2" x14ac:dyDescent="0.25">
      <c r="A40">
        <v>39</v>
      </c>
      <c r="B40" t="s">
        <v>1055</v>
      </c>
    </row>
    <row r="41" spans="1:2" x14ac:dyDescent="0.25">
      <c r="A41">
        <v>40</v>
      </c>
      <c r="B41" t="s">
        <v>1050</v>
      </c>
    </row>
    <row r="42" spans="1:2" x14ac:dyDescent="0.25">
      <c r="A42">
        <v>41</v>
      </c>
      <c r="B42" t="s">
        <v>1054</v>
      </c>
    </row>
    <row r="43" spans="1:2" x14ac:dyDescent="0.25">
      <c r="A43">
        <v>42</v>
      </c>
      <c r="B43" t="s">
        <v>1065</v>
      </c>
    </row>
    <row r="44" spans="1:2" x14ac:dyDescent="0.25">
      <c r="A44">
        <v>43</v>
      </c>
      <c r="B44" t="s">
        <v>1059</v>
      </c>
    </row>
    <row r="45" spans="1:2" x14ac:dyDescent="0.25">
      <c r="A45">
        <v>44</v>
      </c>
      <c r="B45" t="s">
        <v>1058</v>
      </c>
    </row>
    <row r="46" spans="1:2" x14ac:dyDescent="0.25">
      <c r="A46">
        <v>45</v>
      </c>
      <c r="B46" t="s">
        <v>1061</v>
      </c>
    </row>
    <row r="47" spans="1:2" x14ac:dyDescent="0.25">
      <c r="A47">
        <v>46</v>
      </c>
      <c r="B47" t="s">
        <v>1060</v>
      </c>
    </row>
    <row r="48" spans="1:2" x14ac:dyDescent="0.25">
      <c r="A48">
        <v>47</v>
      </c>
      <c r="B48" t="s">
        <v>1062</v>
      </c>
    </row>
    <row r="49" spans="1:2" x14ac:dyDescent="0.25">
      <c r="A49">
        <v>48</v>
      </c>
      <c r="B49" t="s">
        <v>1066</v>
      </c>
    </row>
    <row r="50" spans="1:2" x14ac:dyDescent="0.25">
      <c r="A50">
        <v>49</v>
      </c>
      <c r="B50" t="s">
        <v>1063</v>
      </c>
    </row>
    <row r="51" spans="1:2" x14ac:dyDescent="0.25">
      <c r="A51">
        <v>50</v>
      </c>
      <c r="B51" t="s">
        <v>1064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881E8-4EB9-4FC1-B391-A3CA079A91FB}">
  <dimension ref="A1:E1000"/>
  <sheetViews>
    <sheetView zoomScale="68" workbookViewId="0">
      <selection activeCell="F1" sqref="F1"/>
    </sheetView>
  </sheetViews>
  <sheetFormatPr baseColWidth="10" defaultRowHeight="15" x14ac:dyDescent="0.25"/>
  <cols>
    <col min="1" max="1" width="11.42578125" style="4"/>
    <col min="2" max="2" width="22.5703125" customWidth="1"/>
    <col min="3" max="3" width="24.140625" style="4" customWidth="1"/>
    <col min="4" max="4" width="20.5703125" customWidth="1"/>
  </cols>
  <sheetData>
    <row r="1" spans="1:5" ht="15.75" thickBot="1" x14ac:dyDescent="0.3">
      <c r="A1" t="s">
        <v>1067</v>
      </c>
      <c r="B1" s="5" t="s">
        <v>0</v>
      </c>
      <c r="C1" s="5" t="s">
        <v>51</v>
      </c>
      <c r="D1" s="5" t="s">
        <v>52</v>
      </c>
      <c r="E1" s="16" t="s">
        <v>1016</v>
      </c>
    </row>
    <row r="2" spans="1:5" ht="90.75" thickBot="1" x14ac:dyDescent="0.3">
      <c r="A2" s="4">
        <f>_xlfn.XLOOKUP(E2,Orden_preguntas!$B:$B,Orden_preguntas!$A:$A)</f>
        <v>1</v>
      </c>
      <c r="B2" s="6" t="s">
        <v>909</v>
      </c>
      <c r="C2" s="8">
        <v>1</v>
      </c>
      <c r="D2" s="6" t="s">
        <v>959</v>
      </c>
      <c r="E2" s="17" t="s">
        <v>1027</v>
      </c>
    </row>
    <row r="3" spans="1:5" ht="90.75" thickBot="1" x14ac:dyDescent="0.3">
      <c r="A3" s="4">
        <f>_xlfn.XLOOKUP(E3,Orden_preguntas!$B:$B,Orden_preguntas!$A:$A)</f>
        <v>2</v>
      </c>
      <c r="B3" s="6" t="s">
        <v>912</v>
      </c>
      <c r="C3" s="8">
        <v>1</v>
      </c>
      <c r="D3" s="6" t="s">
        <v>962</v>
      </c>
      <c r="E3" s="17" t="s">
        <v>1032</v>
      </c>
    </row>
    <row r="4" spans="1:5" ht="105.75" thickBot="1" x14ac:dyDescent="0.3">
      <c r="A4" s="4">
        <f>_xlfn.XLOOKUP(E4,Orden_preguntas!$B:$B,Orden_preguntas!$A:$A)</f>
        <v>3</v>
      </c>
      <c r="B4" s="6" t="s">
        <v>906</v>
      </c>
      <c r="C4" s="8">
        <v>1</v>
      </c>
      <c r="D4" s="6" t="s">
        <v>956</v>
      </c>
      <c r="E4" s="17" t="s">
        <v>1022</v>
      </c>
    </row>
    <row r="5" spans="1:5" ht="105.75" thickBot="1" x14ac:dyDescent="0.3">
      <c r="A5" s="4">
        <f>_xlfn.XLOOKUP(E5,Orden_preguntas!$B:$B,Orden_preguntas!$A:$A)</f>
        <v>4</v>
      </c>
      <c r="B5" s="6" t="s">
        <v>908</v>
      </c>
      <c r="C5" s="8">
        <v>0.9</v>
      </c>
      <c r="D5" s="6" t="s">
        <v>958</v>
      </c>
      <c r="E5" s="17" t="s">
        <v>1036</v>
      </c>
    </row>
    <row r="6" spans="1:5" ht="105.75" thickBot="1" x14ac:dyDescent="0.3">
      <c r="A6" s="4">
        <f>_xlfn.XLOOKUP(E6,Orden_preguntas!$B:$B,Orden_preguntas!$A:$A)</f>
        <v>5</v>
      </c>
      <c r="B6" s="6" t="s">
        <v>905</v>
      </c>
      <c r="C6" s="8">
        <v>1</v>
      </c>
      <c r="D6" s="6" t="s">
        <v>955</v>
      </c>
      <c r="E6" s="17" t="s">
        <v>1028</v>
      </c>
    </row>
    <row r="7" spans="1:5" ht="90.75" thickBot="1" x14ac:dyDescent="0.3">
      <c r="A7" s="4">
        <f>_xlfn.XLOOKUP(E7,Orden_preguntas!$B:$B,Orden_preguntas!$A:$A)</f>
        <v>6</v>
      </c>
      <c r="B7" s="6" t="s">
        <v>914</v>
      </c>
      <c r="C7" s="8">
        <v>1</v>
      </c>
      <c r="D7" s="6" t="s">
        <v>964</v>
      </c>
      <c r="E7" s="17" t="s">
        <v>1024</v>
      </c>
    </row>
    <row r="8" spans="1:5" ht="120.75" thickBot="1" x14ac:dyDescent="0.3">
      <c r="A8" s="4">
        <f>_xlfn.XLOOKUP(E8,Orden_preguntas!$B:$B,Orden_preguntas!$A:$A)</f>
        <v>7</v>
      </c>
      <c r="B8" s="6" t="s">
        <v>904</v>
      </c>
      <c r="C8" s="8">
        <v>1</v>
      </c>
      <c r="D8" s="6" t="s">
        <v>954</v>
      </c>
      <c r="E8" s="17" t="s">
        <v>1030</v>
      </c>
    </row>
    <row r="9" spans="1:5" ht="105.75" thickBot="1" x14ac:dyDescent="0.3">
      <c r="A9" s="4">
        <f>_xlfn.XLOOKUP(E9,Orden_preguntas!$B:$B,Orden_preguntas!$A:$A)</f>
        <v>8</v>
      </c>
      <c r="B9" s="6" t="s">
        <v>916</v>
      </c>
      <c r="C9" s="8">
        <v>0.9</v>
      </c>
      <c r="D9" s="6" t="s">
        <v>966</v>
      </c>
      <c r="E9" s="17" t="s">
        <v>1020</v>
      </c>
    </row>
    <row r="10" spans="1:5" ht="90.75" thickBot="1" x14ac:dyDescent="0.3">
      <c r="A10" s="4">
        <f>_xlfn.XLOOKUP(E10,Orden_preguntas!$B:$B,Orden_preguntas!$A:$A)</f>
        <v>9</v>
      </c>
      <c r="B10" s="6" t="s">
        <v>903</v>
      </c>
      <c r="C10" s="8">
        <v>1</v>
      </c>
      <c r="D10" s="6" t="s">
        <v>953</v>
      </c>
      <c r="E10" s="17" t="s">
        <v>1034</v>
      </c>
    </row>
    <row r="11" spans="1:5" ht="90.75" thickBot="1" x14ac:dyDescent="0.3">
      <c r="A11" s="4">
        <f>_xlfn.XLOOKUP(E11,Orden_preguntas!$B:$B,Orden_preguntas!$A:$A)</f>
        <v>10</v>
      </c>
      <c r="B11" s="6" t="s">
        <v>910</v>
      </c>
      <c r="C11" s="8">
        <v>1</v>
      </c>
      <c r="D11" s="6" t="s">
        <v>960</v>
      </c>
      <c r="E11" s="17" t="s">
        <v>1035</v>
      </c>
    </row>
    <row r="12" spans="1:5" ht="135.75" thickBot="1" x14ac:dyDescent="0.3">
      <c r="A12" s="4">
        <f>_xlfn.XLOOKUP(E12,Orden_preguntas!$B:$B,Orden_preguntas!$A:$A)</f>
        <v>11</v>
      </c>
      <c r="B12" s="6" t="s">
        <v>913</v>
      </c>
      <c r="C12" s="8">
        <v>0.2</v>
      </c>
      <c r="D12" s="6" t="s">
        <v>963</v>
      </c>
      <c r="E12" s="17" t="s">
        <v>1017</v>
      </c>
    </row>
    <row r="13" spans="1:5" ht="120.75" thickBot="1" x14ac:dyDescent="0.3">
      <c r="A13" s="4">
        <f>_xlfn.XLOOKUP(E13,Orden_preguntas!$B:$B,Orden_preguntas!$A:$A)</f>
        <v>12</v>
      </c>
      <c r="B13" s="6" t="s">
        <v>915</v>
      </c>
      <c r="C13" s="8">
        <v>0.3</v>
      </c>
      <c r="D13" s="6" t="s">
        <v>965</v>
      </c>
      <c r="E13" s="17" t="s">
        <v>1023</v>
      </c>
    </row>
    <row r="14" spans="1:5" ht="135.75" thickBot="1" x14ac:dyDescent="0.3">
      <c r="A14" s="4">
        <f>_xlfn.XLOOKUP(E14,Orden_preguntas!$B:$B,Orden_preguntas!$A:$A)</f>
        <v>13</v>
      </c>
      <c r="B14" s="6" t="s">
        <v>917</v>
      </c>
      <c r="C14" s="8">
        <v>0.3</v>
      </c>
      <c r="D14" s="6" t="s">
        <v>967</v>
      </c>
      <c r="E14" s="17" t="s">
        <v>1033</v>
      </c>
    </row>
    <row r="15" spans="1:5" ht="105.75" thickBot="1" x14ac:dyDescent="0.3">
      <c r="A15" s="4">
        <f>_xlfn.XLOOKUP(E15,Orden_preguntas!$B:$B,Orden_preguntas!$A:$A)</f>
        <v>14</v>
      </c>
      <c r="B15" s="6" t="s">
        <v>919</v>
      </c>
      <c r="C15" s="8">
        <v>0.2</v>
      </c>
      <c r="D15" s="6" t="s">
        <v>969</v>
      </c>
      <c r="E15" s="17" t="s">
        <v>1018</v>
      </c>
    </row>
    <row r="16" spans="1:5" ht="150.75" thickBot="1" x14ac:dyDescent="0.3">
      <c r="A16" s="4">
        <f>_xlfn.XLOOKUP(E16,Orden_preguntas!$B:$B,Orden_preguntas!$A:$A)</f>
        <v>15</v>
      </c>
      <c r="B16" s="6" t="s">
        <v>922</v>
      </c>
      <c r="C16" s="8">
        <v>0.2</v>
      </c>
      <c r="D16" s="6" t="s">
        <v>972</v>
      </c>
      <c r="E16" s="17" t="s">
        <v>1025</v>
      </c>
    </row>
    <row r="17" spans="1:5" ht="105.75" thickBot="1" x14ac:dyDescent="0.3">
      <c r="A17" s="4">
        <f>_xlfn.XLOOKUP(E17,Orden_preguntas!$B:$B,Orden_preguntas!$A:$A)</f>
        <v>16</v>
      </c>
      <c r="B17" s="6" t="s">
        <v>907</v>
      </c>
      <c r="C17" s="8">
        <v>0.3</v>
      </c>
      <c r="D17" s="6" t="s">
        <v>957</v>
      </c>
      <c r="E17" s="17" t="s">
        <v>1019</v>
      </c>
    </row>
    <row r="18" spans="1:5" ht="75.75" thickBot="1" x14ac:dyDescent="0.3">
      <c r="A18" s="4">
        <f>_xlfn.XLOOKUP(E18,Orden_preguntas!$B:$B,Orden_preguntas!$A:$A)</f>
        <v>17</v>
      </c>
      <c r="B18" s="6" t="s">
        <v>918</v>
      </c>
      <c r="C18" s="8">
        <v>0.2</v>
      </c>
      <c r="D18" s="6" t="s">
        <v>968</v>
      </c>
      <c r="E18" s="17" t="s">
        <v>1026</v>
      </c>
    </row>
    <row r="19" spans="1:5" ht="75.75" thickBot="1" x14ac:dyDescent="0.3">
      <c r="A19" s="4">
        <f>_xlfn.XLOOKUP(E19,Orden_preguntas!$B:$B,Orden_preguntas!$A:$A)</f>
        <v>18</v>
      </c>
      <c r="B19" s="6" t="s">
        <v>921</v>
      </c>
      <c r="C19" s="8">
        <v>0.3</v>
      </c>
      <c r="D19" s="6" t="s">
        <v>971</v>
      </c>
      <c r="E19" s="17" t="s">
        <v>1031</v>
      </c>
    </row>
    <row r="20" spans="1:5" ht="135.75" thickBot="1" x14ac:dyDescent="0.3">
      <c r="A20" s="4">
        <f>_xlfn.XLOOKUP(E20,Orden_preguntas!$B:$B,Orden_preguntas!$A:$A)</f>
        <v>19</v>
      </c>
      <c r="B20" s="6" t="s">
        <v>911</v>
      </c>
      <c r="C20" s="8">
        <v>0.3</v>
      </c>
      <c r="D20" s="6" t="s">
        <v>961</v>
      </c>
      <c r="E20" s="17" t="s">
        <v>1029</v>
      </c>
    </row>
    <row r="21" spans="1:5" ht="135.75" thickBot="1" x14ac:dyDescent="0.3">
      <c r="A21" s="4">
        <f>_xlfn.XLOOKUP(E21,Orden_preguntas!$B:$B,Orden_preguntas!$A:$A)</f>
        <v>20</v>
      </c>
      <c r="B21" s="6" t="s">
        <v>920</v>
      </c>
      <c r="C21" s="8">
        <v>0.2</v>
      </c>
      <c r="D21" s="6" t="s">
        <v>970</v>
      </c>
      <c r="E21" s="17" t="s">
        <v>1021</v>
      </c>
    </row>
    <row r="22" spans="1:5" ht="120.75" thickBot="1" x14ac:dyDescent="0.3">
      <c r="A22" s="4">
        <f>_xlfn.XLOOKUP(E22,Orden_preguntas!$B:$B,Orden_preguntas!$A:$A)</f>
        <v>21</v>
      </c>
      <c r="B22" s="6" t="s">
        <v>925</v>
      </c>
      <c r="C22" s="8">
        <v>0.2</v>
      </c>
      <c r="D22" s="6" t="s">
        <v>975</v>
      </c>
      <c r="E22" s="17" t="s">
        <v>1038</v>
      </c>
    </row>
    <row r="23" spans="1:5" ht="150.75" thickBot="1" x14ac:dyDescent="0.3">
      <c r="A23" s="4">
        <f>_xlfn.XLOOKUP(E23,Orden_preguntas!$B:$B,Orden_preguntas!$A:$A)</f>
        <v>22</v>
      </c>
      <c r="B23" s="6" t="s">
        <v>924</v>
      </c>
      <c r="C23" s="8">
        <v>0.2</v>
      </c>
      <c r="D23" s="6" t="s">
        <v>974</v>
      </c>
      <c r="E23" s="17" t="s">
        <v>1048</v>
      </c>
    </row>
    <row r="24" spans="1:5" ht="120.75" thickBot="1" x14ac:dyDescent="0.3">
      <c r="A24" s="4">
        <f>_xlfn.XLOOKUP(E24,Orden_preguntas!$B:$B,Orden_preguntas!$A:$A)</f>
        <v>23</v>
      </c>
      <c r="B24" s="6" t="s">
        <v>929</v>
      </c>
      <c r="C24" s="8">
        <v>0.2</v>
      </c>
      <c r="D24" s="6" t="s">
        <v>979</v>
      </c>
      <c r="E24" s="17" t="s">
        <v>1056</v>
      </c>
    </row>
    <row r="25" spans="1:5" ht="135.75" thickBot="1" x14ac:dyDescent="0.3">
      <c r="A25" s="4">
        <f>_xlfn.XLOOKUP(E25,Orden_preguntas!$B:$B,Orden_preguntas!$A:$A)</f>
        <v>24</v>
      </c>
      <c r="B25" s="6" t="s">
        <v>933</v>
      </c>
      <c r="C25" s="8">
        <v>0.1</v>
      </c>
      <c r="D25" s="6" t="s">
        <v>983</v>
      </c>
      <c r="E25" s="17" t="s">
        <v>1037</v>
      </c>
    </row>
    <row r="26" spans="1:5" ht="120.75" thickBot="1" x14ac:dyDescent="0.3">
      <c r="A26" s="4">
        <f>_xlfn.XLOOKUP(E26,Orden_preguntas!$B:$B,Orden_preguntas!$A:$A)</f>
        <v>25</v>
      </c>
      <c r="B26" s="6" t="s">
        <v>931</v>
      </c>
      <c r="C26" s="8">
        <v>0.2</v>
      </c>
      <c r="D26" s="6" t="s">
        <v>981</v>
      </c>
      <c r="E26" s="17" t="s">
        <v>1039</v>
      </c>
    </row>
    <row r="27" spans="1:5" ht="135.75" thickBot="1" x14ac:dyDescent="0.3">
      <c r="A27" s="4">
        <f>_xlfn.XLOOKUP(E27,Orden_preguntas!$B:$B,Orden_preguntas!$A:$A)</f>
        <v>26</v>
      </c>
      <c r="B27" s="6" t="s">
        <v>923</v>
      </c>
      <c r="C27" s="8">
        <v>0.2</v>
      </c>
      <c r="D27" s="6" t="s">
        <v>973</v>
      </c>
      <c r="E27" s="17" t="s">
        <v>1041</v>
      </c>
    </row>
    <row r="28" spans="1:5" ht="105.75" thickBot="1" x14ac:dyDescent="0.3">
      <c r="A28" s="4">
        <f>_xlfn.XLOOKUP(E28,Orden_preguntas!$B:$B,Orden_preguntas!$A:$A)</f>
        <v>27</v>
      </c>
      <c r="B28" s="6" t="s">
        <v>926</v>
      </c>
      <c r="C28" s="8">
        <v>0.1</v>
      </c>
      <c r="D28" s="6" t="s">
        <v>976</v>
      </c>
      <c r="E28" s="17" t="s">
        <v>1040</v>
      </c>
    </row>
    <row r="29" spans="1:5" ht="105.75" thickBot="1" x14ac:dyDescent="0.3">
      <c r="A29" s="4">
        <f>_xlfn.XLOOKUP(E29,Orden_preguntas!$B:$B,Orden_preguntas!$A:$A)</f>
        <v>28</v>
      </c>
      <c r="B29" s="6" t="s">
        <v>928</v>
      </c>
      <c r="C29" s="8">
        <v>0.3</v>
      </c>
      <c r="D29" s="6" t="s">
        <v>978</v>
      </c>
      <c r="E29" s="17" t="s">
        <v>1042</v>
      </c>
    </row>
    <row r="30" spans="1:5" ht="135.75" thickBot="1" x14ac:dyDescent="0.3">
      <c r="A30" s="4">
        <f>_xlfn.XLOOKUP(E30,Orden_preguntas!$B:$B,Orden_preguntas!$A:$A)</f>
        <v>29</v>
      </c>
      <c r="B30" s="6" t="s">
        <v>927</v>
      </c>
      <c r="C30" s="8">
        <v>0.2</v>
      </c>
      <c r="D30" s="6" t="s">
        <v>977</v>
      </c>
      <c r="E30" s="17" t="s">
        <v>1043</v>
      </c>
    </row>
    <row r="31" spans="1:5" ht="150.75" thickBot="1" x14ac:dyDescent="0.3">
      <c r="A31" s="4">
        <f>_xlfn.XLOOKUP(E31,Orden_preguntas!$B:$B,Orden_preguntas!$A:$A)</f>
        <v>30</v>
      </c>
      <c r="B31" s="6" t="s">
        <v>932</v>
      </c>
      <c r="C31" s="8">
        <v>0.2</v>
      </c>
      <c r="D31" s="6" t="s">
        <v>982</v>
      </c>
      <c r="E31" s="17" t="s">
        <v>1045</v>
      </c>
    </row>
    <row r="32" spans="1:5" ht="150.75" thickBot="1" x14ac:dyDescent="0.3">
      <c r="A32" s="4">
        <f>_xlfn.XLOOKUP(E32,Orden_preguntas!$B:$B,Orden_preguntas!$A:$A)</f>
        <v>31</v>
      </c>
      <c r="B32" s="6" t="s">
        <v>934</v>
      </c>
      <c r="C32" s="8">
        <v>0.2</v>
      </c>
      <c r="D32" s="6" t="s">
        <v>984</v>
      </c>
      <c r="E32" s="17" t="s">
        <v>1051</v>
      </c>
    </row>
    <row r="33" spans="1:5" ht="180.75" thickBot="1" x14ac:dyDescent="0.3">
      <c r="A33" s="4">
        <f>_xlfn.XLOOKUP(E33,Orden_preguntas!$B:$B,Orden_preguntas!$A:$A)</f>
        <v>32</v>
      </c>
      <c r="B33" s="6" t="s">
        <v>936</v>
      </c>
      <c r="C33" s="8">
        <v>0.1</v>
      </c>
      <c r="D33" s="6" t="s">
        <v>986</v>
      </c>
      <c r="E33" s="17" t="s">
        <v>1047</v>
      </c>
    </row>
    <row r="34" spans="1:5" ht="165.75" thickBot="1" x14ac:dyDescent="0.3">
      <c r="A34" s="4">
        <f>_xlfn.XLOOKUP(E34,Orden_preguntas!$B:$B,Orden_preguntas!$A:$A)</f>
        <v>33</v>
      </c>
      <c r="B34" s="6" t="s">
        <v>940</v>
      </c>
      <c r="C34" s="8">
        <v>0.3</v>
      </c>
      <c r="D34" s="6" t="s">
        <v>990</v>
      </c>
      <c r="E34" s="17" t="s">
        <v>1053</v>
      </c>
    </row>
    <row r="35" spans="1:5" ht="120.75" thickBot="1" x14ac:dyDescent="0.3">
      <c r="A35" s="4">
        <f>_xlfn.XLOOKUP(E35,Orden_preguntas!$B:$B,Orden_preguntas!$A:$A)</f>
        <v>34</v>
      </c>
      <c r="B35" s="6" t="s">
        <v>930</v>
      </c>
      <c r="C35" s="8">
        <v>0.2</v>
      </c>
      <c r="D35" s="6" t="s">
        <v>980</v>
      </c>
      <c r="E35" s="17" t="s">
        <v>1057</v>
      </c>
    </row>
    <row r="36" spans="1:5" ht="165.75" thickBot="1" x14ac:dyDescent="0.3">
      <c r="A36" s="4">
        <f>_xlfn.XLOOKUP(E36,Orden_preguntas!$B:$B,Orden_preguntas!$A:$A)</f>
        <v>35</v>
      </c>
      <c r="B36" s="6" t="s">
        <v>935</v>
      </c>
      <c r="C36" s="8">
        <v>0.3</v>
      </c>
      <c r="D36" s="6" t="s">
        <v>985</v>
      </c>
      <c r="E36" s="17" t="s">
        <v>1046</v>
      </c>
    </row>
    <row r="37" spans="1:5" ht="135.75" thickBot="1" x14ac:dyDescent="0.3">
      <c r="A37" s="4">
        <f>_xlfn.XLOOKUP(E37,Orden_preguntas!$B:$B,Orden_preguntas!$A:$A)</f>
        <v>36</v>
      </c>
      <c r="B37" s="6" t="s">
        <v>937</v>
      </c>
      <c r="C37" s="8">
        <v>0.2</v>
      </c>
      <c r="D37" s="6" t="s">
        <v>987</v>
      </c>
      <c r="E37" s="17" t="s">
        <v>1049</v>
      </c>
    </row>
    <row r="38" spans="1:5" ht="135.75" thickBot="1" x14ac:dyDescent="0.3">
      <c r="A38" s="4">
        <f>_xlfn.XLOOKUP(E38,Orden_preguntas!$B:$B,Orden_preguntas!$A:$A)</f>
        <v>37</v>
      </c>
      <c r="B38" s="6" t="s">
        <v>938</v>
      </c>
      <c r="C38" s="8">
        <v>0.2</v>
      </c>
      <c r="D38" s="6" t="s">
        <v>988</v>
      </c>
      <c r="E38" s="17" t="s">
        <v>1052</v>
      </c>
    </row>
    <row r="39" spans="1:5" ht="105.75" thickBot="1" x14ac:dyDescent="0.3">
      <c r="A39" s="4">
        <f>_xlfn.XLOOKUP(E39,Orden_preguntas!$B:$B,Orden_preguntas!$A:$A)</f>
        <v>38</v>
      </c>
      <c r="B39" s="6" t="s">
        <v>941</v>
      </c>
      <c r="C39" s="8">
        <v>0.1</v>
      </c>
      <c r="D39" s="6" t="s">
        <v>991</v>
      </c>
      <c r="E39" s="17" t="s">
        <v>1044</v>
      </c>
    </row>
    <row r="40" spans="1:5" ht="165.75" thickBot="1" x14ac:dyDescent="0.3">
      <c r="A40" s="4">
        <f>_xlfn.XLOOKUP(E40,Orden_preguntas!$B:$B,Orden_preguntas!$A:$A)</f>
        <v>39</v>
      </c>
      <c r="B40" s="6" t="s">
        <v>939</v>
      </c>
      <c r="C40" s="8">
        <v>0.2</v>
      </c>
      <c r="D40" s="6" t="s">
        <v>989</v>
      </c>
      <c r="E40" s="17" t="s">
        <v>1055</v>
      </c>
    </row>
    <row r="41" spans="1:5" ht="165.75" thickBot="1" x14ac:dyDescent="0.3">
      <c r="A41" s="4">
        <f>_xlfn.XLOOKUP(E41,Orden_preguntas!$B:$B,Orden_preguntas!$A:$A)</f>
        <v>40</v>
      </c>
      <c r="B41" s="6" t="s">
        <v>942</v>
      </c>
      <c r="C41" s="8">
        <v>1</v>
      </c>
      <c r="D41" s="6" t="s">
        <v>992</v>
      </c>
      <c r="E41" s="17" t="s">
        <v>1050</v>
      </c>
    </row>
    <row r="42" spans="1:5" ht="225.75" thickBot="1" x14ac:dyDescent="0.3">
      <c r="A42" s="4">
        <f>_xlfn.XLOOKUP(E42,Orden_preguntas!$B:$B,Orden_preguntas!$A:$A)</f>
        <v>41</v>
      </c>
      <c r="B42" s="6" t="s">
        <v>943</v>
      </c>
      <c r="C42" s="8">
        <v>0.2</v>
      </c>
      <c r="D42" s="6" t="s">
        <v>993</v>
      </c>
      <c r="E42" s="17" t="s">
        <v>1054</v>
      </c>
    </row>
    <row r="43" spans="1:5" ht="165.75" thickBot="1" x14ac:dyDescent="0.3">
      <c r="A43" s="4">
        <f>_xlfn.XLOOKUP(E43,Orden_preguntas!$B:$B,Orden_preguntas!$A:$A)</f>
        <v>42</v>
      </c>
      <c r="B43" s="6" t="s">
        <v>945</v>
      </c>
      <c r="C43" s="8">
        <v>0.2</v>
      </c>
      <c r="D43" s="6" t="s">
        <v>995</v>
      </c>
      <c r="E43" s="17" t="s">
        <v>1065</v>
      </c>
    </row>
    <row r="44" spans="1:5" ht="165.75" thickBot="1" x14ac:dyDescent="0.3">
      <c r="A44" s="4">
        <f>_xlfn.XLOOKUP(E44,Orden_preguntas!$B:$B,Orden_preguntas!$A:$A)</f>
        <v>43</v>
      </c>
      <c r="B44" s="6" t="s">
        <v>948</v>
      </c>
      <c r="C44" s="8">
        <v>0.2</v>
      </c>
      <c r="D44" s="6" t="s">
        <v>998</v>
      </c>
      <c r="E44" s="17" t="s">
        <v>1059</v>
      </c>
    </row>
    <row r="45" spans="1:5" ht="135.75" thickBot="1" x14ac:dyDescent="0.3">
      <c r="A45" s="4">
        <f>_xlfn.XLOOKUP(E45,Orden_preguntas!$B:$B,Orden_preguntas!$A:$A)</f>
        <v>44</v>
      </c>
      <c r="B45" s="6" t="s">
        <v>949</v>
      </c>
      <c r="C45" s="8">
        <v>0.3</v>
      </c>
      <c r="D45" s="6" t="s">
        <v>999</v>
      </c>
      <c r="E45" s="17" t="s">
        <v>1058</v>
      </c>
    </row>
    <row r="46" spans="1:5" ht="150.75" thickBot="1" x14ac:dyDescent="0.3">
      <c r="A46" s="4">
        <f>_xlfn.XLOOKUP(E46,Orden_preguntas!$B:$B,Orden_preguntas!$A:$A)</f>
        <v>45</v>
      </c>
      <c r="B46" s="6" t="s">
        <v>947</v>
      </c>
      <c r="C46" s="8">
        <v>0.1</v>
      </c>
      <c r="D46" s="6" t="s">
        <v>997</v>
      </c>
      <c r="E46" s="17" t="s">
        <v>1061</v>
      </c>
    </row>
    <row r="47" spans="1:5" ht="105.75" thickBot="1" x14ac:dyDescent="0.3">
      <c r="A47" s="4">
        <f>_xlfn.XLOOKUP(E47,Orden_preguntas!$B:$B,Orden_preguntas!$A:$A)</f>
        <v>46</v>
      </c>
      <c r="B47" s="6" t="s">
        <v>952</v>
      </c>
      <c r="C47" s="8">
        <v>0.2</v>
      </c>
      <c r="D47" s="6" t="s">
        <v>1002</v>
      </c>
      <c r="E47" s="17" t="s">
        <v>1060</v>
      </c>
    </row>
    <row r="48" spans="1:5" ht="135.75" thickBot="1" x14ac:dyDescent="0.3">
      <c r="A48" s="4">
        <f>_xlfn.XLOOKUP(E48,Orden_preguntas!$B:$B,Orden_preguntas!$A:$A)</f>
        <v>47</v>
      </c>
      <c r="B48" s="6" t="s">
        <v>951</v>
      </c>
      <c r="C48" s="8">
        <v>0.3</v>
      </c>
      <c r="D48" s="6" t="s">
        <v>1001</v>
      </c>
      <c r="E48" s="17" t="s">
        <v>1062</v>
      </c>
    </row>
    <row r="49" spans="1:5" ht="165.75" thickBot="1" x14ac:dyDescent="0.3">
      <c r="A49" s="4">
        <f>_xlfn.XLOOKUP(E49,Orden_preguntas!$B:$B,Orden_preguntas!$A:$A)</f>
        <v>48</v>
      </c>
      <c r="B49" s="6" t="s">
        <v>950</v>
      </c>
      <c r="C49" s="8">
        <v>0.2</v>
      </c>
      <c r="D49" s="6" t="s">
        <v>1000</v>
      </c>
      <c r="E49" s="17" t="s">
        <v>1066</v>
      </c>
    </row>
    <row r="50" spans="1:5" ht="195.75" thickBot="1" x14ac:dyDescent="0.3">
      <c r="A50" s="4">
        <f>_xlfn.XLOOKUP(E50,Orden_preguntas!$B:$B,Orden_preguntas!$A:$A)</f>
        <v>49</v>
      </c>
      <c r="B50" s="6" t="s">
        <v>944</v>
      </c>
      <c r="C50" s="8">
        <v>0.2</v>
      </c>
      <c r="D50" s="6" t="s">
        <v>994</v>
      </c>
      <c r="E50" s="17" t="s">
        <v>1063</v>
      </c>
    </row>
    <row r="51" spans="1:5" ht="210.75" thickBot="1" x14ac:dyDescent="0.3">
      <c r="A51" s="4">
        <f>_xlfn.XLOOKUP(E51,Orden_preguntas!$B:$B,Orden_preguntas!$A:$A)</f>
        <v>50</v>
      </c>
      <c r="B51" s="6" t="s">
        <v>946</v>
      </c>
      <c r="C51" s="8">
        <v>0.1</v>
      </c>
      <c r="D51" s="6" t="s">
        <v>996</v>
      </c>
      <c r="E51" s="17" t="s">
        <v>1064</v>
      </c>
    </row>
    <row r="52" spans="1:5" ht="15.75" thickBot="1" x14ac:dyDescent="0.3">
      <c r="E52" s="17"/>
    </row>
    <row r="53" spans="1:5" ht="15.75" thickBot="1" x14ac:dyDescent="0.3">
      <c r="E53" s="17"/>
    </row>
    <row r="54" spans="1:5" ht="15.75" thickBot="1" x14ac:dyDescent="0.3">
      <c r="E54" s="17"/>
    </row>
    <row r="55" spans="1:5" ht="15.75" thickBot="1" x14ac:dyDescent="0.3">
      <c r="E55" s="17"/>
    </row>
    <row r="56" spans="1:5" ht="15.75" thickBot="1" x14ac:dyDescent="0.3">
      <c r="E56" s="17"/>
    </row>
    <row r="57" spans="1:5" ht="15.75" thickBot="1" x14ac:dyDescent="0.3">
      <c r="E57" s="17"/>
    </row>
    <row r="58" spans="1:5" ht="15.75" thickBot="1" x14ac:dyDescent="0.3">
      <c r="E58" s="17"/>
    </row>
    <row r="59" spans="1:5" ht="15.75" thickBot="1" x14ac:dyDescent="0.3">
      <c r="E59" s="17"/>
    </row>
    <row r="60" spans="1:5" ht="15.75" thickBot="1" x14ac:dyDescent="0.3">
      <c r="E60" s="17"/>
    </row>
    <row r="61" spans="1:5" ht="15.75" thickBot="1" x14ac:dyDescent="0.3">
      <c r="E61" s="17"/>
    </row>
    <row r="62" spans="1:5" ht="15.75" thickBot="1" x14ac:dyDescent="0.3">
      <c r="E62" s="17"/>
    </row>
    <row r="63" spans="1:5" ht="15.75" thickBot="1" x14ac:dyDescent="0.3">
      <c r="E63" s="17"/>
    </row>
    <row r="64" spans="1:5" ht="15.75" thickBot="1" x14ac:dyDescent="0.3">
      <c r="E64" s="17"/>
    </row>
    <row r="65" spans="5:5" ht="15.75" thickBot="1" x14ac:dyDescent="0.3">
      <c r="E65" s="17"/>
    </row>
    <row r="66" spans="5:5" ht="15.75" thickBot="1" x14ac:dyDescent="0.3">
      <c r="E66" s="17"/>
    </row>
    <row r="67" spans="5:5" ht="15.75" thickBot="1" x14ac:dyDescent="0.3">
      <c r="E67" s="17"/>
    </row>
    <row r="68" spans="5:5" ht="15.75" thickBot="1" x14ac:dyDescent="0.3">
      <c r="E68" s="17"/>
    </row>
    <row r="69" spans="5:5" ht="15.75" thickBot="1" x14ac:dyDescent="0.3">
      <c r="E69" s="17"/>
    </row>
    <row r="70" spans="5:5" ht="15.75" thickBot="1" x14ac:dyDescent="0.3">
      <c r="E70" s="17"/>
    </row>
    <row r="71" spans="5:5" ht="15.75" thickBot="1" x14ac:dyDescent="0.3">
      <c r="E71" s="17"/>
    </row>
    <row r="72" spans="5:5" ht="15.75" thickBot="1" x14ac:dyDescent="0.3">
      <c r="E72" s="17"/>
    </row>
    <row r="73" spans="5:5" ht="15.75" thickBot="1" x14ac:dyDescent="0.3">
      <c r="E73" s="17"/>
    </row>
    <row r="74" spans="5:5" ht="15.75" thickBot="1" x14ac:dyDescent="0.3">
      <c r="E74" s="17"/>
    </row>
    <row r="75" spans="5:5" ht="15.75" thickBot="1" x14ac:dyDescent="0.3">
      <c r="E75" s="17"/>
    </row>
    <row r="76" spans="5:5" ht="15.75" thickBot="1" x14ac:dyDescent="0.3">
      <c r="E76" s="17"/>
    </row>
    <row r="77" spans="5:5" ht="15.75" thickBot="1" x14ac:dyDescent="0.3">
      <c r="E77" s="17"/>
    </row>
    <row r="78" spans="5:5" ht="15.75" thickBot="1" x14ac:dyDescent="0.3">
      <c r="E78" s="17"/>
    </row>
    <row r="79" spans="5:5" ht="15.75" thickBot="1" x14ac:dyDescent="0.3">
      <c r="E79" s="17"/>
    </row>
    <row r="80" spans="5:5" ht="15.75" thickBot="1" x14ac:dyDescent="0.3">
      <c r="E80" s="17"/>
    </row>
    <row r="81" spans="5:5" ht="15.75" thickBot="1" x14ac:dyDescent="0.3">
      <c r="E81" s="17"/>
    </row>
    <row r="82" spans="5:5" ht="15.75" thickBot="1" x14ac:dyDescent="0.3">
      <c r="E82" s="17"/>
    </row>
    <row r="83" spans="5:5" ht="15.75" thickBot="1" x14ac:dyDescent="0.3">
      <c r="E83" s="17"/>
    </row>
    <row r="84" spans="5:5" ht="15.75" thickBot="1" x14ac:dyDescent="0.3">
      <c r="E84" s="17"/>
    </row>
    <row r="85" spans="5:5" ht="15.75" thickBot="1" x14ac:dyDescent="0.3">
      <c r="E85" s="17"/>
    </row>
    <row r="86" spans="5:5" ht="15.75" thickBot="1" x14ac:dyDescent="0.3">
      <c r="E86" s="17"/>
    </row>
    <row r="87" spans="5:5" ht="15.75" thickBot="1" x14ac:dyDescent="0.3">
      <c r="E87" s="17"/>
    </row>
    <row r="88" spans="5:5" ht="15.75" thickBot="1" x14ac:dyDescent="0.3">
      <c r="E88" s="17"/>
    </row>
    <row r="89" spans="5:5" ht="15.75" thickBot="1" x14ac:dyDescent="0.3">
      <c r="E89" s="17"/>
    </row>
    <row r="90" spans="5:5" ht="15.75" thickBot="1" x14ac:dyDescent="0.3">
      <c r="E90" s="17"/>
    </row>
    <row r="91" spans="5:5" ht="15.75" thickBot="1" x14ac:dyDescent="0.3">
      <c r="E91" s="17"/>
    </row>
    <row r="92" spans="5:5" ht="15.75" thickBot="1" x14ac:dyDescent="0.3">
      <c r="E92" s="17"/>
    </row>
    <row r="93" spans="5:5" ht="15.75" thickBot="1" x14ac:dyDescent="0.3">
      <c r="E93" s="17"/>
    </row>
    <row r="94" spans="5:5" ht="15.75" thickBot="1" x14ac:dyDescent="0.3">
      <c r="E94" s="17"/>
    </row>
    <row r="95" spans="5:5" ht="15.75" thickBot="1" x14ac:dyDescent="0.3">
      <c r="E95" s="17"/>
    </row>
    <row r="96" spans="5:5" ht="15.75" thickBot="1" x14ac:dyDescent="0.3">
      <c r="E96" s="17"/>
    </row>
    <row r="97" spans="5:5" ht="15.75" thickBot="1" x14ac:dyDescent="0.3">
      <c r="E97" s="17"/>
    </row>
    <row r="98" spans="5:5" ht="15.75" thickBot="1" x14ac:dyDescent="0.3">
      <c r="E98" s="17"/>
    </row>
    <row r="99" spans="5:5" ht="15.75" thickBot="1" x14ac:dyDescent="0.3">
      <c r="E99" s="17"/>
    </row>
    <row r="100" spans="5:5" ht="15.75" thickBot="1" x14ac:dyDescent="0.3">
      <c r="E100" s="17"/>
    </row>
    <row r="101" spans="5:5" ht="15.75" thickBot="1" x14ac:dyDescent="0.3">
      <c r="E101" s="17"/>
    </row>
    <row r="102" spans="5:5" ht="15.75" thickBot="1" x14ac:dyDescent="0.3">
      <c r="E102" s="17"/>
    </row>
    <row r="103" spans="5:5" ht="15.75" thickBot="1" x14ac:dyDescent="0.3">
      <c r="E103" s="17"/>
    </row>
    <row r="104" spans="5:5" ht="15.75" thickBot="1" x14ac:dyDescent="0.3">
      <c r="E104" s="17"/>
    </row>
    <row r="105" spans="5:5" ht="15.75" thickBot="1" x14ac:dyDescent="0.3">
      <c r="E105" s="17"/>
    </row>
    <row r="106" spans="5:5" ht="15.75" thickBot="1" x14ac:dyDescent="0.3">
      <c r="E106" s="17"/>
    </row>
    <row r="107" spans="5:5" ht="15.75" thickBot="1" x14ac:dyDescent="0.3">
      <c r="E107" s="17"/>
    </row>
    <row r="108" spans="5:5" ht="15.75" thickBot="1" x14ac:dyDescent="0.3">
      <c r="E108" s="17"/>
    </row>
    <row r="109" spans="5:5" ht="15.75" thickBot="1" x14ac:dyDescent="0.3">
      <c r="E109" s="17"/>
    </row>
    <row r="110" spans="5:5" ht="15.75" thickBot="1" x14ac:dyDescent="0.3">
      <c r="E110" s="17"/>
    </row>
    <row r="111" spans="5:5" ht="15.75" thickBot="1" x14ac:dyDescent="0.3">
      <c r="E111" s="17"/>
    </row>
    <row r="112" spans="5:5" ht="15.75" thickBot="1" x14ac:dyDescent="0.3">
      <c r="E112" s="17"/>
    </row>
    <row r="113" spans="5:5" ht="15.75" thickBot="1" x14ac:dyDescent="0.3">
      <c r="E113" s="17"/>
    </row>
    <row r="114" spans="5:5" ht="15.75" thickBot="1" x14ac:dyDescent="0.3">
      <c r="E114" s="17"/>
    </row>
    <row r="115" spans="5:5" ht="15.75" thickBot="1" x14ac:dyDescent="0.3">
      <c r="E115" s="17"/>
    </row>
    <row r="116" spans="5:5" ht="15.75" thickBot="1" x14ac:dyDescent="0.3">
      <c r="E116" s="17"/>
    </row>
    <row r="117" spans="5:5" ht="15.75" thickBot="1" x14ac:dyDescent="0.3">
      <c r="E117" s="17"/>
    </row>
    <row r="118" spans="5:5" ht="15.75" thickBot="1" x14ac:dyDescent="0.3">
      <c r="E118" s="17"/>
    </row>
    <row r="119" spans="5:5" ht="15.75" thickBot="1" x14ac:dyDescent="0.3">
      <c r="E119" s="17"/>
    </row>
    <row r="120" spans="5:5" ht="15.75" thickBot="1" x14ac:dyDescent="0.3">
      <c r="E120" s="17"/>
    </row>
    <row r="121" spans="5:5" ht="15.75" thickBot="1" x14ac:dyDescent="0.3">
      <c r="E121" s="17"/>
    </row>
    <row r="122" spans="5:5" ht="15.75" thickBot="1" x14ac:dyDescent="0.3">
      <c r="E122" s="17"/>
    </row>
    <row r="123" spans="5:5" ht="15.75" thickBot="1" x14ac:dyDescent="0.3">
      <c r="E123" s="17"/>
    </row>
    <row r="124" spans="5:5" ht="15.75" thickBot="1" x14ac:dyDescent="0.3">
      <c r="E124" s="17"/>
    </row>
    <row r="125" spans="5:5" ht="15.75" thickBot="1" x14ac:dyDescent="0.3">
      <c r="E125" s="17"/>
    </row>
    <row r="126" spans="5:5" ht="15.75" thickBot="1" x14ac:dyDescent="0.3">
      <c r="E126" s="17"/>
    </row>
    <row r="127" spans="5:5" ht="15.75" thickBot="1" x14ac:dyDescent="0.3">
      <c r="E127" s="17"/>
    </row>
    <row r="128" spans="5:5" ht="15.75" thickBot="1" x14ac:dyDescent="0.3">
      <c r="E128" s="17"/>
    </row>
    <row r="129" spans="5:5" ht="15.75" thickBot="1" x14ac:dyDescent="0.3">
      <c r="E129" s="17"/>
    </row>
    <row r="130" spans="5:5" ht="15.75" thickBot="1" x14ac:dyDescent="0.3">
      <c r="E130" s="17"/>
    </row>
    <row r="131" spans="5:5" ht="15.75" thickBot="1" x14ac:dyDescent="0.3">
      <c r="E131" s="17"/>
    </row>
    <row r="132" spans="5:5" ht="15.75" thickBot="1" x14ac:dyDescent="0.3">
      <c r="E132" s="17"/>
    </row>
    <row r="133" spans="5:5" ht="15.75" thickBot="1" x14ac:dyDescent="0.3">
      <c r="E133" s="17"/>
    </row>
    <row r="134" spans="5:5" ht="15.75" thickBot="1" x14ac:dyDescent="0.3">
      <c r="E134" s="17"/>
    </row>
    <row r="135" spans="5:5" ht="15.75" thickBot="1" x14ac:dyDescent="0.3">
      <c r="E135" s="17"/>
    </row>
    <row r="136" spans="5:5" ht="15.75" thickBot="1" x14ac:dyDescent="0.3">
      <c r="E136" s="17"/>
    </row>
    <row r="137" spans="5:5" ht="15.75" thickBot="1" x14ac:dyDescent="0.3">
      <c r="E137" s="17"/>
    </row>
    <row r="138" spans="5:5" ht="15.75" thickBot="1" x14ac:dyDescent="0.3">
      <c r="E138" s="17"/>
    </row>
    <row r="139" spans="5:5" ht="15.75" thickBot="1" x14ac:dyDescent="0.3">
      <c r="E139" s="17"/>
    </row>
    <row r="140" spans="5:5" ht="15.75" thickBot="1" x14ac:dyDescent="0.3">
      <c r="E140" s="17"/>
    </row>
    <row r="141" spans="5:5" ht="15.75" thickBot="1" x14ac:dyDescent="0.3">
      <c r="E141" s="17"/>
    </row>
    <row r="142" spans="5:5" ht="15.75" thickBot="1" x14ac:dyDescent="0.3">
      <c r="E142" s="17"/>
    </row>
    <row r="143" spans="5:5" ht="15.75" thickBot="1" x14ac:dyDescent="0.3">
      <c r="E143" s="17"/>
    </row>
    <row r="144" spans="5:5" ht="15.75" thickBot="1" x14ac:dyDescent="0.3">
      <c r="E144" s="17"/>
    </row>
    <row r="145" spans="5:5" ht="15.75" thickBot="1" x14ac:dyDescent="0.3">
      <c r="E145" s="17"/>
    </row>
    <row r="146" spans="5:5" ht="15.75" thickBot="1" x14ac:dyDescent="0.3">
      <c r="E146" s="17"/>
    </row>
    <row r="147" spans="5:5" ht="15.75" thickBot="1" x14ac:dyDescent="0.3">
      <c r="E147" s="17"/>
    </row>
    <row r="148" spans="5:5" ht="15.75" thickBot="1" x14ac:dyDescent="0.3">
      <c r="E148" s="17"/>
    </row>
    <row r="149" spans="5:5" ht="15.75" thickBot="1" x14ac:dyDescent="0.3">
      <c r="E149" s="17"/>
    </row>
    <row r="150" spans="5:5" ht="15.75" thickBot="1" x14ac:dyDescent="0.3">
      <c r="E150" s="17"/>
    </row>
    <row r="151" spans="5:5" ht="15.75" thickBot="1" x14ac:dyDescent="0.3">
      <c r="E151" s="17"/>
    </row>
    <row r="152" spans="5:5" ht="15.75" thickBot="1" x14ac:dyDescent="0.3">
      <c r="E152" s="17"/>
    </row>
    <row r="153" spans="5:5" ht="15.75" thickBot="1" x14ac:dyDescent="0.3">
      <c r="E153" s="17"/>
    </row>
    <row r="154" spans="5:5" ht="15.75" thickBot="1" x14ac:dyDescent="0.3">
      <c r="E154" s="17"/>
    </row>
    <row r="155" spans="5:5" ht="15.75" thickBot="1" x14ac:dyDescent="0.3">
      <c r="E155" s="17"/>
    </row>
    <row r="156" spans="5:5" ht="15.75" thickBot="1" x14ac:dyDescent="0.3">
      <c r="E156" s="17"/>
    </row>
    <row r="157" spans="5:5" ht="15.75" thickBot="1" x14ac:dyDescent="0.3">
      <c r="E157" s="17"/>
    </row>
    <row r="158" spans="5:5" ht="15.75" thickBot="1" x14ac:dyDescent="0.3">
      <c r="E158" s="17"/>
    </row>
    <row r="159" spans="5:5" ht="15.75" thickBot="1" x14ac:dyDescent="0.3">
      <c r="E159" s="17"/>
    </row>
    <row r="160" spans="5:5" ht="15.75" thickBot="1" x14ac:dyDescent="0.3">
      <c r="E160" s="17"/>
    </row>
    <row r="161" spans="5:5" ht="15.75" thickBot="1" x14ac:dyDescent="0.3">
      <c r="E161" s="17"/>
    </row>
    <row r="162" spans="5:5" ht="15.75" thickBot="1" x14ac:dyDescent="0.3">
      <c r="E162" s="17"/>
    </row>
    <row r="163" spans="5:5" ht="15.75" thickBot="1" x14ac:dyDescent="0.3">
      <c r="E163" s="17"/>
    </row>
    <row r="164" spans="5:5" ht="15.75" thickBot="1" x14ac:dyDescent="0.3">
      <c r="E164" s="17"/>
    </row>
    <row r="165" spans="5:5" ht="15.75" thickBot="1" x14ac:dyDescent="0.3">
      <c r="E165" s="17"/>
    </row>
    <row r="166" spans="5:5" ht="15.75" thickBot="1" x14ac:dyDescent="0.3">
      <c r="E166" s="17"/>
    </row>
    <row r="167" spans="5:5" ht="15.75" thickBot="1" x14ac:dyDescent="0.3">
      <c r="E167" s="17"/>
    </row>
    <row r="168" spans="5:5" ht="15.75" thickBot="1" x14ac:dyDescent="0.3">
      <c r="E168" s="17"/>
    </row>
    <row r="169" spans="5:5" ht="15.75" thickBot="1" x14ac:dyDescent="0.3">
      <c r="E169" s="17"/>
    </row>
    <row r="170" spans="5:5" ht="15.75" thickBot="1" x14ac:dyDescent="0.3">
      <c r="E170" s="17"/>
    </row>
    <row r="171" spans="5:5" ht="15.75" thickBot="1" x14ac:dyDescent="0.3">
      <c r="E171" s="17"/>
    </row>
    <row r="172" spans="5:5" ht="15.75" thickBot="1" x14ac:dyDescent="0.3">
      <c r="E172" s="17"/>
    </row>
    <row r="173" spans="5:5" ht="15.75" thickBot="1" x14ac:dyDescent="0.3">
      <c r="E173" s="17"/>
    </row>
    <row r="174" spans="5:5" ht="15.75" thickBot="1" x14ac:dyDescent="0.3">
      <c r="E174" s="17"/>
    </row>
    <row r="175" spans="5:5" ht="15.75" thickBot="1" x14ac:dyDescent="0.3">
      <c r="E175" s="17"/>
    </row>
    <row r="176" spans="5:5" ht="15.75" thickBot="1" x14ac:dyDescent="0.3">
      <c r="E176" s="17"/>
    </row>
    <row r="177" spans="5:5" ht="15.75" thickBot="1" x14ac:dyDescent="0.3">
      <c r="E177" s="17"/>
    </row>
    <row r="178" spans="5:5" ht="15.75" thickBot="1" x14ac:dyDescent="0.3">
      <c r="E178" s="17"/>
    </row>
    <row r="179" spans="5:5" ht="15.75" thickBot="1" x14ac:dyDescent="0.3">
      <c r="E179" s="17"/>
    </row>
    <row r="180" spans="5:5" ht="15.75" thickBot="1" x14ac:dyDescent="0.3">
      <c r="E180" s="17"/>
    </row>
    <row r="181" spans="5:5" ht="15.75" thickBot="1" x14ac:dyDescent="0.3">
      <c r="E181" s="17"/>
    </row>
    <row r="182" spans="5:5" ht="15.75" thickBot="1" x14ac:dyDescent="0.3">
      <c r="E182" s="17"/>
    </row>
    <row r="183" spans="5:5" ht="15.75" thickBot="1" x14ac:dyDescent="0.3">
      <c r="E183" s="17"/>
    </row>
    <row r="184" spans="5:5" ht="15.75" thickBot="1" x14ac:dyDescent="0.3">
      <c r="E184" s="17"/>
    </row>
    <row r="185" spans="5:5" ht="15.75" thickBot="1" x14ac:dyDescent="0.3">
      <c r="E185" s="17"/>
    </row>
    <row r="186" spans="5:5" ht="15.75" thickBot="1" x14ac:dyDescent="0.3">
      <c r="E186" s="17"/>
    </row>
    <row r="187" spans="5:5" ht="15.75" thickBot="1" x14ac:dyDescent="0.3">
      <c r="E187" s="17"/>
    </row>
    <row r="188" spans="5:5" ht="15.75" thickBot="1" x14ac:dyDescent="0.3">
      <c r="E188" s="17"/>
    </row>
    <row r="189" spans="5:5" ht="15.75" thickBot="1" x14ac:dyDescent="0.3">
      <c r="E189" s="17"/>
    </row>
    <row r="190" spans="5:5" ht="15.75" thickBot="1" x14ac:dyDescent="0.3">
      <c r="E190" s="17"/>
    </row>
    <row r="191" spans="5:5" ht="15.75" thickBot="1" x14ac:dyDescent="0.3">
      <c r="E191" s="17"/>
    </row>
    <row r="192" spans="5:5" ht="15.75" thickBot="1" x14ac:dyDescent="0.3">
      <c r="E192" s="17"/>
    </row>
    <row r="193" spans="5:5" ht="15.75" thickBot="1" x14ac:dyDescent="0.3">
      <c r="E193" s="17"/>
    </row>
    <row r="194" spans="5:5" ht="15.75" thickBot="1" x14ac:dyDescent="0.3">
      <c r="E194" s="17"/>
    </row>
    <row r="195" spans="5:5" ht="15.75" thickBot="1" x14ac:dyDescent="0.3">
      <c r="E195" s="17"/>
    </row>
    <row r="196" spans="5:5" ht="15.75" thickBot="1" x14ac:dyDescent="0.3">
      <c r="E196" s="17"/>
    </row>
    <row r="197" spans="5:5" ht="15.75" thickBot="1" x14ac:dyDescent="0.3">
      <c r="E197" s="17"/>
    </row>
    <row r="198" spans="5:5" ht="15.75" thickBot="1" x14ac:dyDescent="0.3">
      <c r="E198" s="17"/>
    </row>
    <row r="199" spans="5:5" ht="15.75" thickBot="1" x14ac:dyDescent="0.3">
      <c r="E199" s="17"/>
    </row>
    <row r="200" spans="5:5" ht="15.75" thickBot="1" x14ac:dyDescent="0.3">
      <c r="E200" s="17"/>
    </row>
    <row r="201" spans="5:5" ht="15.75" thickBot="1" x14ac:dyDescent="0.3">
      <c r="E201" s="17"/>
    </row>
    <row r="202" spans="5:5" ht="15.75" thickBot="1" x14ac:dyDescent="0.3">
      <c r="E202" s="17"/>
    </row>
    <row r="203" spans="5:5" ht="15.75" thickBot="1" x14ac:dyDescent="0.3">
      <c r="E203" s="17"/>
    </row>
    <row r="204" spans="5:5" ht="15.75" thickBot="1" x14ac:dyDescent="0.3">
      <c r="E204" s="17"/>
    </row>
    <row r="205" spans="5:5" ht="15.75" thickBot="1" x14ac:dyDescent="0.3">
      <c r="E205" s="17"/>
    </row>
    <row r="206" spans="5:5" ht="15.75" thickBot="1" x14ac:dyDescent="0.3">
      <c r="E206" s="17"/>
    </row>
    <row r="207" spans="5:5" ht="15.75" thickBot="1" x14ac:dyDescent="0.3">
      <c r="E207" s="17"/>
    </row>
    <row r="208" spans="5:5" ht="15.75" thickBot="1" x14ac:dyDescent="0.3">
      <c r="E208" s="17"/>
    </row>
    <row r="209" spans="5:5" ht="15.75" thickBot="1" x14ac:dyDescent="0.3">
      <c r="E209" s="17"/>
    </row>
    <row r="210" spans="5:5" ht="15.75" thickBot="1" x14ac:dyDescent="0.3">
      <c r="E210" s="17"/>
    </row>
    <row r="211" spans="5:5" ht="15.75" thickBot="1" x14ac:dyDescent="0.3">
      <c r="E211" s="17"/>
    </row>
    <row r="212" spans="5:5" ht="15.75" thickBot="1" x14ac:dyDescent="0.3">
      <c r="E212" s="17"/>
    </row>
    <row r="213" spans="5:5" ht="15.75" thickBot="1" x14ac:dyDescent="0.3">
      <c r="E213" s="17"/>
    </row>
    <row r="214" spans="5:5" ht="15.75" thickBot="1" x14ac:dyDescent="0.3">
      <c r="E214" s="17"/>
    </row>
    <row r="215" spans="5:5" ht="15.75" thickBot="1" x14ac:dyDescent="0.3">
      <c r="E215" s="17"/>
    </row>
    <row r="216" spans="5:5" ht="15.75" thickBot="1" x14ac:dyDescent="0.3">
      <c r="E216" s="17"/>
    </row>
    <row r="217" spans="5:5" ht="15.75" thickBot="1" x14ac:dyDescent="0.3">
      <c r="E217" s="17"/>
    </row>
    <row r="218" spans="5:5" ht="15.75" thickBot="1" x14ac:dyDescent="0.3">
      <c r="E218" s="17"/>
    </row>
    <row r="219" spans="5:5" ht="15.75" thickBot="1" x14ac:dyDescent="0.3">
      <c r="E219" s="17"/>
    </row>
    <row r="220" spans="5:5" ht="15.75" thickBot="1" x14ac:dyDescent="0.3">
      <c r="E220" s="17"/>
    </row>
    <row r="221" spans="5:5" ht="15.75" thickBot="1" x14ac:dyDescent="0.3">
      <c r="E221" s="17"/>
    </row>
    <row r="222" spans="5:5" ht="15.75" thickBot="1" x14ac:dyDescent="0.3">
      <c r="E222" s="17"/>
    </row>
    <row r="223" spans="5:5" ht="15.75" thickBot="1" x14ac:dyDescent="0.3">
      <c r="E223" s="17"/>
    </row>
    <row r="224" spans="5:5" ht="15.75" thickBot="1" x14ac:dyDescent="0.3">
      <c r="E224" s="17"/>
    </row>
    <row r="225" spans="5:5" ht="15.75" thickBot="1" x14ac:dyDescent="0.3">
      <c r="E225" s="17"/>
    </row>
    <row r="226" spans="5:5" ht="15.75" thickBot="1" x14ac:dyDescent="0.3">
      <c r="E226" s="17"/>
    </row>
    <row r="227" spans="5:5" ht="15.75" thickBot="1" x14ac:dyDescent="0.3">
      <c r="E227" s="17"/>
    </row>
    <row r="228" spans="5:5" ht="15.75" thickBot="1" x14ac:dyDescent="0.3">
      <c r="E228" s="17"/>
    </row>
    <row r="229" spans="5:5" ht="15.75" thickBot="1" x14ac:dyDescent="0.3">
      <c r="E229" s="17"/>
    </row>
    <row r="230" spans="5:5" ht="15.75" thickBot="1" x14ac:dyDescent="0.3">
      <c r="E230" s="17"/>
    </row>
    <row r="231" spans="5:5" ht="15.75" thickBot="1" x14ac:dyDescent="0.3">
      <c r="E231" s="17"/>
    </row>
    <row r="232" spans="5:5" ht="15.75" thickBot="1" x14ac:dyDescent="0.3">
      <c r="E232" s="17"/>
    </row>
    <row r="233" spans="5:5" ht="15.75" thickBot="1" x14ac:dyDescent="0.3">
      <c r="E233" s="17"/>
    </row>
    <row r="234" spans="5:5" ht="15.75" thickBot="1" x14ac:dyDescent="0.3">
      <c r="E234" s="17"/>
    </row>
    <row r="235" spans="5:5" ht="15.75" thickBot="1" x14ac:dyDescent="0.3">
      <c r="E235" s="17"/>
    </row>
    <row r="236" spans="5:5" ht="15.75" thickBot="1" x14ac:dyDescent="0.3">
      <c r="E236" s="17"/>
    </row>
    <row r="237" spans="5:5" ht="15.75" thickBot="1" x14ac:dyDescent="0.3">
      <c r="E237" s="17"/>
    </row>
    <row r="238" spans="5:5" ht="15.75" thickBot="1" x14ac:dyDescent="0.3">
      <c r="E238" s="17"/>
    </row>
    <row r="239" spans="5:5" ht="15.75" thickBot="1" x14ac:dyDescent="0.3">
      <c r="E239" s="17"/>
    </row>
    <row r="240" spans="5:5" ht="15.75" thickBot="1" x14ac:dyDescent="0.3">
      <c r="E240" s="17"/>
    </row>
    <row r="241" spans="5:5" ht="15.75" thickBot="1" x14ac:dyDescent="0.3">
      <c r="E241" s="17"/>
    </row>
    <row r="242" spans="5:5" ht="15.75" thickBot="1" x14ac:dyDescent="0.3">
      <c r="E242" s="17"/>
    </row>
    <row r="243" spans="5:5" ht="15.75" thickBot="1" x14ac:dyDescent="0.3">
      <c r="E243" s="17"/>
    </row>
    <row r="244" spans="5:5" ht="15.75" thickBot="1" x14ac:dyDescent="0.3">
      <c r="E244" s="17"/>
    </row>
    <row r="245" spans="5:5" ht="15.75" thickBot="1" x14ac:dyDescent="0.3">
      <c r="E245" s="17"/>
    </row>
    <row r="246" spans="5:5" ht="15.75" thickBot="1" x14ac:dyDescent="0.3">
      <c r="E246" s="17"/>
    </row>
    <row r="247" spans="5:5" ht="15.75" thickBot="1" x14ac:dyDescent="0.3">
      <c r="E247" s="17"/>
    </row>
    <row r="248" spans="5:5" ht="15.75" thickBot="1" x14ac:dyDescent="0.3">
      <c r="E248" s="17"/>
    </row>
    <row r="249" spans="5:5" ht="15.75" thickBot="1" x14ac:dyDescent="0.3">
      <c r="E249" s="17"/>
    </row>
    <row r="250" spans="5:5" ht="15.75" thickBot="1" x14ac:dyDescent="0.3">
      <c r="E250" s="17"/>
    </row>
    <row r="251" spans="5:5" ht="15.75" thickBot="1" x14ac:dyDescent="0.3">
      <c r="E251" s="17"/>
    </row>
    <row r="252" spans="5:5" ht="15.75" thickBot="1" x14ac:dyDescent="0.3">
      <c r="E252" s="17"/>
    </row>
    <row r="253" spans="5:5" ht="15.75" thickBot="1" x14ac:dyDescent="0.3">
      <c r="E253" s="17"/>
    </row>
    <row r="254" spans="5:5" ht="15.75" thickBot="1" x14ac:dyDescent="0.3">
      <c r="E254" s="17"/>
    </row>
    <row r="255" spans="5:5" ht="15.75" thickBot="1" x14ac:dyDescent="0.3">
      <c r="E255" s="17"/>
    </row>
    <row r="256" spans="5:5" ht="15.75" thickBot="1" x14ac:dyDescent="0.3">
      <c r="E256" s="17"/>
    </row>
    <row r="257" spans="5:5" ht="15.75" thickBot="1" x14ac:dyDescent="0.3">
      <c r="E257" s="17"/>
    </row>
    <row r="258" spans="5:5" ht="15.75" thickBot="1" x14ac:dyDescent="0.3">
      <c r="E258" s="17"/>
    </row>
    <row r="259" spans="5:5" ht="15.75" thickBot="1" x14ac:dyDescent="0.3">
      <c r="E259" s="17"/>
    </row>
    <row r="260" spans="5:5" ht="15.75" thickBot="1" x14ac:dyDescent="0.3">
      <c r="E260" s="17"/>
    </row>
    <row r="261" spans="5:5" ht="15.75" thickBot="1" x14ac:dyDescent="0.3">
      <c r="E261" s="17"/>
    </row>
    <row r="262" spans="5:5" ht="15.75" thickBot="1" x14ac:dyDescent="0.3">
      <c r="E262" s="17"/>
    </row>
    <row r="263" spans="5:5" ht="15.75" thickBot="1" x14ac:dyDescent="0.3">
      <c r="E263" s="17"/>
    </row>
    <row r="264" spans="5:5" ht="15.75" thickBot="1" x14ac:dyDescent="0.3">
      <c r="E264" s="17"/>
    </row>
    <row r="265" spans="5:5" ht="15.75" thickBot="1" x14ac:dyDescent="0.3">
      <c r="E265" s="17"/>
    </row>
    <row r="266" spans="5:5" ht="15.75" thickBot="1" x14ac:dyDescent="0.3">
      <c r="E266" s="17"/>
    </row>
    <row r="267" spans="5:5" ht="15.75" thickBot="1" x14ac:dyDescent="0.3">
      <c r="E267" s="17"/>
    </row>
    <row r="268" spans="5:5" ht="15.75" thickBot="1" x14ac:dyDescent="0.3">
      <c r="E268" s="17"/>
    </row>
    <row r="269" spans="5:5" ht="15.75" thickBot="1" x14ac:dyDescent="0.3">
      <c r="E269" s="17"/>
    </row>
    <row r="270" spans="5:5" ht="15.75" thickBot="1" x14ac:dyDescent="0.3">
      <c r="E270" s="17"/>
    </row>
    <row r="271" spans="5:5" ht="15.75" thickBot="1" x14ac:dyDescent="0.3">
      <c r="E271" s="17"/>
    </row>
    <row r="272" spans="5:5" ht="15.75" thickBot="1" x14ac:dyDescent="0.3">
      <c r="E272" s="17"/>
    </row>
    <row r="273" spans="5:5" ht="15.75" thickBot="1" x14ac:dyDescent="0.3">
      <c r="E273" s="17"/>
    </row>
    <row r="274" spans="5:5" ht="15.75" thickBot="1" x14ac:dyDescent="0.3">
      <c r="E274" s="17"/>
    </row>
    <row r="275" spans="5:5" ht="15.75" thickBot="1" x14ac:dyDescent="0.3">
      <c r="E275" s="17"/>
    </row>
    <row r="276" spans="5:5" ht="15.75" thickBot="1" x14ac:dyDescent="0.3">
      <c r="E276" s="17"/>
    </row>
    <row r="277" spans="5:5" ht="15.75" thickBot="1" x14ac:dyDescent="0.3">
      <c r="E277" s="17"/>
    </row>
    <row r="278" spans="5:5" ht="15.75" thickBot="1" x14ac:dyDescent="0.3">
      <c r="E278" s="17"/>
    </row>
    <row r="279" spans="5:5" ht="15.75" thickBot="1" x14ac:dyDescent="0.3">
      <c r="E279" s="17"/>
    </row>
    <row r="280" spans="5:5" ht="15.75" thickBot="1" x14ac:dyDescent="0.3">
      <c r="E280" s="17"/>
    </row>
    <row r="281" spans="5:5" ht="15.75" thickBot="1" x14ac:dyDescent="0.3">
      <c r="E281" s="17"/>
    </row>
    <row r="282" spans="5:5" ht="15.75" thickBot="1" x14ac:dyDescent="0.3">
      <c r="E282" s="17"/>
    </row>
    <row r="283" spans="5:5" ht="15.75" thickBot="1" x14ac:dyDescent="0.3">
      <c r="E283" s="17"/>
    </row>
    <row r="284" spans="5:5" ht="15.75" thickBot="1" x14ac:dyDescent="0.3">
      <c r="E284" s="17"/>
    </row>
    <row r="285" spans="5:5" ht="15.75" thickBot="1" x14ac:dyDescent="0.3">
      <c r="E285" s="17"/>
    </row>
    <row r="286" spans="5:5" ht="15.75" thickBot="1" x14ac:dyDescent="0.3">
      <c r="E286" s="17"/>
    </row>
    <row r="287" spans="5:5" ht="15.75" thickBot="1" x14ac:dyDescent="0.3">
      <c r="E287" s="17"/>
    </row>
    <row r="288" spans="5:5" ht="15.75" thickBot="1" x14ac:dyDescent="0.3">
      <c r="E288" s="17"/>
    </row>
    <row r="289" spans="5:5" ht="15.75" thickBot="1" x14ac:dyDescent="0.3">
      <c r="E289" s="17"/>
    </row>
    <row r="290" spans="5:5" ht="15.75" thickBot="1" x14ac:dyDescent="0.3">
      <c r="E290" s="17"/>
    </row>
    <row r="291" spans="5:5" ht="15.75" thickBot="1" x14ac:dyDescent="0.3">
      <c r="E291" s="17"/>
    </row>
    <row r="292" spans="5:5" ht="15.75" thickBot="1" x14ac:dyDescent="0.3">
      <c r="E292" s="17"/>
    </row>
    <row r="293" spans="5:5" ht="15.75" thickBot="1" x14ac:dyDescent="0.3">
      <c r="E293" s="17"/>
    </row>
    <row r="294" spans="5:5" ht="15.75" thickBot="1" x14ac:dyDescent="0.3">
      <c r="E294" s="17"/>
    </row>
    <row r="295" spans="5:5" ht="15.75" thickBot="1" x14ac:dyDescent="0.3">
      <c r="E295" s="17"/>
    </row>
    <row r="296" spans="5:5" ht="15.75" thickBot="1" x14ac:dyDescent="0.3">
      <c r="E296" s="17"/>
    </row>
    <row r="297" spans="5:5" ht="15.75" thickBot="1" x14ac:dyDescent="0.3">
      <c r="E297" s="17"/>
    </row>
    <row r="298" spans="5:5" ht="15.75" thickBot="1" x14ac:dyDescent="0.3">
      <c r="E298" s="17"/>
    </row>
    <row r="299" spans="5:5" ht="15.75" thickBot="1" x14ac:dyDescent="0.3">
      <c r="E299" s="17"/>
    </row>
    <row r="300" spans="5:5" ht="15.75" thickBot="1" x14ac:dyDescent="0.3">
      <c r="E300" s="17"/>
    </row>
    <row r="301" spans="5:5" ht="15.75" thickBot="1" x14ac:dyDescent="0.3">
      <c r="E301" s="17"/>
    </row>
    <row r="302" spans="5:5" ht="15.75" thickBot="1" x14ac:dyDescent="0.3">
      <c r="E302" s="17"/>
    </row>
    <row r="303" spans="5:5" ht="15.75" thickBot="1" x14ac:dyDescent="0.3">
      <c r="E303" s="17"/>
    </row>
    <row r="304" spans="5:5" ht="15.75" thickBot="1" x14ac:dyDescent="0.3">
      <c r="E304" s="17"/>
    </row>
    <row r="305" spans="5:5" ht="15.75" thickBot="1" x14ac:dyDescent="0.3">
      <c r="E305" s="17"/>
    </row>
    <row r="306" spans="5:5" ht="15.75" thickBot="1" x14ac:dyDescent="0.3">
      <c r="E306" s="17"/>
    </row>
    <row r="307" spans="5:5" ht="15.75" thickBot="1" x14ac:dyDescent="0.3">
      <c r="E307" s="17"/>
    </row>
    <row r="308" spans="5:5" ht="15.75" thickBot="1" x14ac:dyDescent="0.3">
      <c r="E308" s="17"/>
    </row>
    <row r="309" spans="5:5" ht="15.75" thickBot="1" x14ac:dyDescent="0.3">
      <c r="E309" s="17"/>
    </row>
    <row r="310" spans="5:5" ht="15.75" thickBot="1" x14ac:dyDescent="0.3">
      <c r="E310" s="17"/>
    </row>
    <row r="311" spans="5:5" ht="15.75" thickBot="1" x14ac:dyDescent="0.3">
      <c r="E311" s="17"/>
    </row>
    <row r="312" spans="5:5" ht="15.75" thickBot="1" x14ac:dyDescent="0.3">
      <c r="E312" s="17"/>
    </row>
    <row r="313" spans="5:5" ht="15.75" thickBot="1" x14ac:dyDescent="0.3">
      <c r="E313" s="17"/>
    </row>
    <row r="314" spans="5:5" ht="15.75" thickBot="1" x14ac:dyDescent="0.3">
      <c r="E314" s="17"/>
    </row>
    <row r="315" spans="5:5" ht="15.75" thickBot="1" x14ac:dyDescent="0.3">
      <c r="E315" s="17"/>
    </row>
    <row r="316" spans="5:5" ht="15.75" thickBot="1" x14ac:dyDescent="0.3">
      <c r="E316" s="17"/>
    </row>
    <row r="317" spans="5:5" ht="15.75" thickBot="1" x14ac:dyDescent="0.3">
      <c r="E317" s="17"/>
    </row>
    <row r="318" spans="5:5" ht="15.75" thickBot="1" x14ac:dyDescent="0.3">
      <c r="E318" s="17"/>
    </row>
    <row r="319" spans="5:5" ht="15.75" thickBot="1" x14ac:dyDescent="0.3">
      <c r="E319" s="17"/>
    </row>
    <row r="320" spans="5:5" ht="15.75" thickBot="1" x14ac:dyDescent="0.3">
      <c r="E320" s="17"/>
    </row>
    <row r="321" spans="5:5" ht="15.75" thickBot="1" x14ac:dyDescent="0.3">
      <c r="E321" s="17"/>
    </row>
    <row r="322" spans="5:5" ht="15.75" thickBot="1" x14ac:dyDescent="0.3">
      <c r="E322" s="17"/>
    </row>
    <row r="323" spans="5:5" ht="15.75" thickBot="1" x14ac:dyDescent="0.3">
      <c r="E323" s="17"/>
    </row>
    <row r="324" spans="5:5" ht="15.75" thickBot="1" x14ac:dyDescent="0.3">
      <c r="E324" s="17"/>
    </row>
    <row r="325" spans="5:5" ht="15.75" thickBot="1" x14ac:dyDescent="0.3">
      <c r="E325" s="17"/>
    </row>
    <row r="326" spans="5:5" ht="15.75" thickBot="1" x14ac:dyDescent="0.3">
      <c r="E326" s="17"/>
    </row>
    <row r="327" spans="5:5" ht="15.75" thickBot="1" x14ac:dyDescent="0.3">
      <c r="E327" s="17"/>
    </row>
    <row r="328" spans="5:5" ht="15.75" thickBot="1" x14ac:dyDescent="0.3">
      <c r="E328" s="17"/>
    </row>
    <row r="329" spans="5:5" ht="15.75" thickBot="1" x14ac:dyDescent="0.3">
      <c r="E329" s="17"/>
    </row>
    <row r="330" spans="5:5" ht="15.75" thickBot="1" x14ac:dyDescent="0.3">
      <c r="E330" s="17"/>
    </row>
    <row r="331" spans="5:5" ht="15.75" thickBot="1" x14ac:dyDescent="0.3">
      <c r="E331" s="17"/>
    </row>
    <row r="332" spans="5:5" ht="15.75" thickBot="1" x14ac:dyDescent="0.3">
      <c r="E332" s="17"/>
    </row>
    <row r="333" spans="5:5" ht="15.75" thickBot="1" x14ac:dyDescent="0.3">
      <c r="E333" s="17"/>
    </row>
    <row r="334" spans="5:5" ht="15.75" thickBot="1" x14ac:dyDescent="0.3">
      <c r="E334" s="17"/>
    </row>
    <row r="335" spans="5:5" ht="15.75" thickBot="1" x14ac:dyDescent="0.3">
      <c r="E335" s="17"/>
    </row>
    <row r="336" spans="5:5" ht="15.75" thickBot="1" x14ac:dyDescent="0.3">
      <c r="E336" s="17"/>
    </row>
    <row r="337" spans="5:5" ht="15.75" thickBot="1" x14ac:dyDescent="0.3">
      <c r="E337" s="17"/>
    </row>
    <row r="338" spans="5:5" ht="15.75" thickBot="1" x14ac:dyDescent="0.3">
      <c r="E338" s="17"/>
    </row>
    <row r="339" spans="5:5" ht="15.75" thickBot="1" x14ac:dyDescent="0.3">
      <c r="E339" s="17"/>
    </row>
    <row r="340" spans="5:5" ht="15.75" thickBot="1" x14ac:dyDescent="0.3">
      <c r="E340" s="17"/>
    </row>
    <row r="341" spans="5:5" ht="15.75" thickBot="1" x14ac:dyDescent="0.3">
      <c r="E341" s="17"/>
    </row>
    <row r="342" spans="5:5" ht="15.75" thickBot="1" x14ac:dyDescent="0.3">
      <c r="E342" s="17"/>
    </row>
    <row r="343" spans="5:5" ht="15.75" thickBot="1" x14ac:dyDescent="0.3">
      <c r="E343" s="17"/>
    </row>
    <row r="344" spans="5:5" ht="15.75" thickBot="1" x14ac:dyDescent="0.3">
      <c r="E344" s="17"/>
    </row>
    <row r="345" spans="5:5" ht="15.75" thickBot="1" x14ac:dyDescent="0.3">
      <c r="E345" s="17"/>
    </row>
    <row r="346" spans="5:5" ht="15.75" thickBot="1" x14ac:dyDescent="0.3">
      <c r="E346" s="17"/>
    </row>
    <row r="347" spans="5:5" ht="15.75" thickBot="1" x14ac:dyDescent="0.3">
      <c r="E347" s="17"/>
    </row>
    <row r="348" spans="5:5" ht="15.75" thickBot="1" x14ac:dyDescent="0.3">
      <c r="E348" s="17"/>
    </row>
    <row r="349" spans="5:5" ht="15.75" thickBot="1" x14ac:dyDescent="0.3">
      <c r="E349" s="17"/>
    </row>
    <row r="350" spans="5:5" ht="15.75" thickBot="1" x14ac:dyDescent="0.3">
      <c r="E350" s="17"/>
    </row>
    <row r="351" spans="5:5" ht="15.75" thickBot="1" x14ac:dyDescent="0.3">
      <c r="E351" s="17"/>
    </row>
    <row r="352" spans="5:5" ht="15.75" thickBot="1" x14ac:dyDescent="0.3">
      <c r="E352" s="17"/>
    </row>
    <row r="353" spans="5:5" ht="15.75" thickBot="1" x14ac:dyDescent="0.3">
      <c r="E353" s="17"/>
    </row>
    <row r="354" spans="5:5" ht="15.75" thickBot="1" x14ac:dyDescent="0.3">
      <c r="E354" s="17"/>
    </row>
    <row r="355" spans="5:5" ht="15.75" thickBot="1" x14ac:dyDescent="0.3">
      <c r="E355" s="17"/>
    </row>
    <row r="356" spans="5:5" ht="15.75" thickBot="1" x14ac:dyDescent="0.3">
      <c r="E356" s="17"/>
    </row>
    <row r="357" spans="5:5" ht="15.75" thickBot="1" x14ac:dyDescent="0.3">
      <c r="E357" s="17"/>
    </row>
    <row r="358" spans="5:5" ht="15.75" thickBot="1" x14ac:dyDescent="0.3">
      <c r="E358" s="17"/>
    </row>
    <row r="359" spans="5:5" ht="15.75" thickBot="1" x14ac:dyDescent="0.3">
      <c r="E359" s="17"/>
    </row>
    <row r="360" spans="5:5" ht="15.75" thickBot="1" x14ac:dyDescent="0.3">
      <c r="E360" s="17"/>
    </row>
    <row r="361" spans="5:5" ht="15.75" thickBot="1" x14ac:dyDescent="0.3">
      <c r="E361" s="17"/>
    </row>
    <row r="362" spans="5:5" ht="15.75" thickBot="1" x14ac:dyDescent="0.3">
      <c r="E362" s="17"/>
    </row>
    <row r="363" spans="5:5" ht="15.75" thickBot="1" x14ac:dyDescent="0.3">
      <c r="E363" s="17"/>
    </row>
    <row r="364" spans="5:5" ht="15.75" thickBot="1" x14ac:dyDescent="0.3">
      <c r="E364" s="17"/>
    </row>
    <row r="365" spans="5:5" ht="15.75" thickBot="1" x14ac:dyDescent="0.3">
      <c r="E365" s="17"/>
    </row>
    <row r="366" spans="5:5" ht="15.75" thickBot="1" x14ac:dyDescent="0.3">
      <c r="E366" s="17"/>
    </row>
    <row r="367" spans="5:5" ht="15.75" thickBot="1" x14ac:dyDescent="0.3">
      <c r="E367" s="17"/>
    </row>
    <row r="368" spans="5:5" ht="15.75" thickBot="1" x14ac:dyDescent="0.3">
      <c r="E368" s="17"/>
    </row>
    <row r="369" spans="5:5" ht="15.75" thickBot="1" x14ac:dyDescent="0.3">
      <c r="E369" s="17"/>
    </row>
    <row r="370" spans="5:5" ht="15.75" thickBot="1" x14ac:dyDescent="0.3">
      <c r="E370" s="17"/>
    </row>
    <row r="371" spans="5:5" ht="15.75" thickBot="1" x14ac:dyDescent="0.3">
      <c r="E371" s="17"/>
    </row>
    <row r="372" spans="5:5" ht="15.75" thickBot="1" x14ac:dyDescent="0.3">
      <c r="E372" s="17"/>
    </row>
    <row r="373" spans="5:5" ht="15.75" thickBot="1" x14ac:dyDescent="0.3">
      <c r="E373" s="17"/>
    </row>
    <row r="374" spans="5:5" ht="15.75" thickBot="1" x14ac:dyDescent="0.3">
      <c r="E374" s="17"/>
    </row>
    <row r="375" spans="5:5" ht="15.75" thickBot="1" x14ac:dyDescent="0.3">
      <c r="E375" s="17"/>
    </row>
    <row r="376" spans="5:5" ht="15.75" thickBot="1" x14ac:dyDescent="0.3">
      <c r="E376" s="17"/>
    </row>
    <row r="377" spans="5:5" ht="15.75" thickBot="1" x14ac:dyDescent="0.3">
      <c r="E377" s="17"/>
    </row>
    <row r="378" spans="5:5" ht="15.75" thickBot="1" x14ac:dyDescent="0.3">
      <c r="E378" s="17"/>
    </row>
    <row r="379" spans="5:5" ht="15.75" thickBot="1" x14ac:dyDescent="0.3">
      <c r="E379" s="17"/>
    </row>
    <row r="380" spans="5:5" ht="15.75" thickBot="1" x14ac:dyDescent="0.3">
      <c r="E380" s="17"/>
    </row>
    <row r="381" spans="5:5" ht="15.75" thickBot="1" x14ac:dyDescent="0.3">
      <c r="E381" s="17"/>
    </row>
    <row r="382" spans="5:5" ht="15.75" thickBot="1" x14ac:dyDescent="0.3">
      <c r="E382" s="17"/>
    </row>
    <row r="383" spans="5:5" ht="15.75" thickBot="1" x14ac:dyDescent="0.3">
      <c r="E383" s="17"/>
    </row>
    <row r="384" spans="5:5" ht="15.75" thickBot="1" x14ac:dyDescent="0.3">
      <c r="E384" s="17"/>
    </row>
    <row r="385" spans="5:5" ht="15.75" thickBot="1" x14ac:dyDescent="0.3">
      <c r="E385" s="17"/>
    </row>
    <row r="386" spans="5:5" ht="15.75" thickBot="1" x14ac:dyDescent="0.3">
      <c r="E386" s="17"/>
    </row>
    <row r="387" spans="5:5" ht="15.75" thickBot="1" x14ac:dyDescent="0.3">
      <c r="E387" s="17"/>
    </row>
    <row r="388" spans="5:5" ht="15.75" thickBot="1" x14ac:dyDescent="0.3">
      <c r="E388" s="17"/>
    </row>
    <row r="389" spans="5:5" ht="15.75" thickBot="1" x14ac:dyDescent="0.3">
      <c r="E389" s="17"/>
    </row>
    <row r="390" spans="5:5" ht="15.75" thickBot="1" x14ac:dyDescent="0.3">
      <c r="E390" s="17"/>
    </row>
    <row r="391" spans="5:5" ht="15.75" thickBot="1" x14ac:dyDescent="0.3">
      <c r="E391" s="17"/>
    </row>
    <row r="392" spans="5:5" ht="15.75" thickBot="1" x14ac:dyDescent="0.3">
      <c r="E392" s="17"/>
    </row>
    <row r="393" spans="5:5" ht="15.75" thickBot="1" x14ac:dyDescent="0.3">
      <c r="E393" s="17"/>
    </row>
    <row r="394" spans="5:5" ht="15.75" thickBot="1" x14ac:dyDescent="0.3">
      <c r="E394" s="17"/>
    </row>
    <row r="395" spans="5:5" ht="15.75" thickBot="1" x14ac:dyDescent="0.3">
      <c r="E395" s="17"/>
    </row>
    <row r="396" spans="5:5" ht="15.75" thickBot="1" x14ac:dyDescent="0.3">
      <c r="E396" s="17"/>
    </row>
    <row r="397" spans="5:5" ht="15.75" thickBot="1" x14ac:dyDescent="0.3">
      <c r="E397" s="17"/>
    </row>
    <row r="398" spans="5:5" ht="15.75" thickBot="1" x14ac:dyDescent="0.3">
      <c r="E398" s="17"/>
    </row>
    <row r="399" spans="5:5" ht="15.75" thickBot="1" x14ac:dyDescent="0.3">
      <c r="E399" s="17"/>
    </row>
    <row r="400" spans="5:5" ht="15.75" thickBot="1" x14ac:dyDescent="0.3">
      <c r="E400" s="17"/>
    </row>
    <row r="401" spans="5:5" ht="15.75" thickBot="1" x14ac:dyDescent="0.3">
      <c r="E401" s="17"/>
    </row>
    <row r="402" spans="5:5" ht="15.75" thickBot="1" x14ac:dyDescent="0.3">
      <c r="E402" s="17"/>
    </row>
    <row r="403" spans="5:5" ht="15.75" thickBot="1" x14ac:dyDescent="0.3">
      <c r="E403" s="17"/>
    </row>
    <row r="404" spans="5:5" ht="15.75" thickBot="1" x14ac:dyDescent="0.3">
      <c r="E404" s="17"/>
    </row>
    <row r="405" spans="5:5" ht="15.75" thickBot="1" x14ac:dyDescent="0.3">
      <c r="E405" s="17"/>
    </row>
    <row r="406" spans="5:5" ht="15.75" thickBot="1" x14ac:dyDescent="0.3">
      <c r="E406" s="17"/>
    </row>
    <row r="407" spans="5:5" ht="15.75" thickBot="1" x14ac:dyDescent="0.3">
      <c r="E407" s="17"/>
    </row>
    <row r="408" spans="5:5" ht="15.75" thickBot="1" x14ac:dyDescent="0.3">
      <c r="E408" s="17"/>
    </row>
    <row r="409" spans="5:5" ht="15.75" thickBot="1" x14ac:dyDescent="0.3">
      <c r="E409" s="17"/>
    </row>
    <row r="410" spans="5:5" ht="15.75" thickBot="1" x14ac:dyDescent="0.3">
      <c r="E410" s="17"/>
    </row>
    <row r="411" spans="5:5" ht="15.75" thickBot="1" x14ac:dyDescent="0.3">
      <c r="E411" s="17"/>
    </row>
    <row r="412" spans="5:5" ht="15.75" thickBot="1" x14ac:dyDescent="0.3">
      <c r="E412" s="17"/>
    </row>
    <row r="413" spans="5:5" ht="15.75" thickBot="1" x14ac:dyDescent="0.3">
      <c r="E413" s="17"/>
    </row>
    <row r="414" spans="5:5" ht="15.75" thickBot="1" x14ac:dyDescent="0.3">
      <c r="E414" s="17"/>
    </row>
    <row r="415" spans="5:5" ht="15.75" thickBot="1" x14ac:dyDescent="0.3">
      <c r="E415" s="17"/>
    </row>
    <row r="416" spans="5:5" ht="15.75" thickBot="1" x14ac:dyDescent="0.3">
      <c r="E416" s="17"/>
    </row>
    <row r="417" spans="5:5" ht="15.75" thickBot="1" x14ac:dyDescent="0.3">
      <c r="E417" s="17"/>
    </row>
    <row r="418" spans="5:5" ht="15.75" thickBot="1" x14ac:dyDescent="0.3">
      <c r="E418" s="17"/>
    </row>
    <row r="419" spans="5:5" ht="15.75" thickBot="1" x14ac:dyDescent="0.3">
      <c r="E419" s="17"/>
    </row>
    <row r="420" spans="5:5" ht="15.75" thickBot="1" x14ac:dyDescent="0.3">
      <c r="E420" s="17"/>
    </row>
    <row r="421" spans="5:5" ht="15.75" thickBot="1" x14ac:dyDescent="0.3">
      <c r="E421" s="17"/>
    </row>
    <row r="422" spans="5:5" ht="15.75" thickBot="1" x14ac:dyDescent="0.3">
      <c r="E422" s="17"/>
    </row>
    <row r="423" spans="5:5" ht="15.75" thickBot="1" x14ac:dyDescent="0.3">
      <c r="E423" s="17"/>
    </row>
    <row r="424" spans="5:5" ht="15.75" thickBot="1" x14ac:dyDescent="0.3">
      <c r="E424" s="17"/>
    </row>
    <row r="425" spans="5:5" ht="15.75" thickBot="1" x14ac:dyDescent="0.3">
      <c r="E425" s="17"/>
    </row>
    <row r="426" spans="5:5" ht="15.75" thickBot="1" x14ac:dyDescent="0.3">
      <c r="E426" s="17"/>
    </row>
    <row r="427" spans="5:5" ht="15.75" thickBot="1" x14ac:dyDescent="0.3">
      <c r="E427" s="17"/>
    </row>
    <row r="428" spans="5:5" ht="15.75" thickBot="1" x14ac:dyDescent="0.3">
      <c r="E428" s="17"/>
    </row>
    <row r="429" spans="5:5" ht="15.75" thickBot="1" x14ac:dyDescent="0.3">
      <c r="E429" s="17"/>
    </row>
    <row r="430" spans="5:5" ht="15.75" thickBot="1" x14ac:dyDescent="0.3">
      <c r="E430" s="17"/>
    </row>
    <row r="431" spans="5:5" ht="15.75" thickBot="1" x14ac:dyDescent="0.3">
      <c r="E431" s="17"/>
    </row>
    <row r="432" spans="5:5" ht="15.75" thickBot="1" x14ac:dyDescent="0.3">
      <c r="E432" s="17"/>
    </row>
    <row r="433" spans="5:5" ht="15.75" thickBot="1" x14ac:dyDescent="0.3">
      <c r="E433" s="17"/>
    </row>
    <row r="434" spans="5:5" ht="15.75" thickBot="1" x14ac:dyDescent="0.3">
      <c r="E434" s="17"/>
    </row>
    <row r="435" spans="5:5" ht="15.75" thickBot="1" x14ac:dyDescent="0.3">
      <c r="E435" s="17"/>
    </row>
    <row r="436" spans="5:5" ht="15.75" thickBot="1" x14ac:dyDescent="0.3">
      <c r="E436" s="17"/>
    </row>
    <row r="437" spans="5:5" ht="15.75" thickBot="1" x14ac:dyDescent="0.3">
      <c r="E437" s="17"/>
    </row>
    <row r="438" spans="5:5" ht="15.75" thickBot="1" x14ac:dyDescent="0.3">
      <c r="E438" s="17"/>
    </row>
    <row r="439" spans="5:5" ht="15.75" thickBot="1" x14ac:dyDescent="0.3">
      <c r="E439" s="17"/>
    </row>
    <row r="440" spans="5:5" ht="15.75" thickBot="1" x14ac:dyDescent="0.3">
      <c r="E440" s="17"/>
    </row>
    <row r="441" spans="5:5" ht="15.75" thickBot="1" x14ac:dyDescent="0.3">
      <c r="E441" s="17"/>
    </row>
    <row r="442" spans="5:5" ht="15.75" thickBot="1" x14ac:dyDescent="0.3">
      <c r="E442" s="17"/>
    </row>
    <row r="443" spans="5:5" ht="15.75" thickBot="1" x14ac:dyDescent="0.3">
      <c r="E443" s="17"/>
    </row>
    <row r="444" spans="5:5" ht="15.75" thickBot="1" x14ac:dyDescent="0.3">
      <c r="E444" s="17"/>
    </row>
    <row r="445" spans="5:5" ht="15.75" thickBot="1" x14ac:dyDescent="0.3">
      <c r="E445" s="17"/>
    </row>
    <row r="446" spans="5:5" ht="15.75" thickBot="1" x14ac:dyDescent="0.3">
      <c r="E446" s="17"/>
    </row>
    <row r="447" spans="5:5" ht="15.75" thickBot="1" x14ac:dyDescent="0.3">
      <c r="E447" s="17"/>
    </row>
    <row r="448" spans="5:5" ht="15.75" thickBot="1" x14ac:dyDescent="0.3">
      <c r="E448" s="17"/>
    </row>
    <row r="449" spans="5:5" ht="15.75" thickBot="1" x14ac:dyDescent="0.3">
      <c r="E449" s="17"/>
    </row>
    <row r="450" spans="5:5" ht="15.75" thickBot="1" x14ac:dyDescent="0.3">
      <c r="E450" s="17"/>
    </row>
    <row r="451" spans="5:5" ht="15.75" thickBot="1" x14ac:dyDescent="0.3">
      <c r="E451" s="17"/>
    </row>
    <row r="452" spans="5:5" ht="15.75" thickBot="1" x14ac:dyDescent="0.3">
      <c r="E452" s="17"/>
    </row>
    <row r="453" spans="5:5" ht="15.75" thickBot="1" x14ac:dyDescent="0.3">
      <c r="E453" s="17"/>
    </row>
    <row r="454" spans="5:5" ht="15.75" thickBot="1" x14ac:dyDescent="0.3">
      <c r="E454" s="17"/>
    </row>
    <row r="455" spans="5:5" ht="15.75" thickBot="1" x14ac:dyDescent="0.3">
      <c r="E455" s="17"/>
    </row>
    <row r="456" spans="5:5" ht="15.75" thickBot="1" x14ac:dyDescent="0.3">
      <c r="E456" s="17"/>
    </row>
    <row r="457" spans="5:5" ht="15.75" thickBot="1" x14ac:dyDescent="0.3">
      <c r="E457" s="17"/>
    </row>
    <row r="458" spans="5:5" ht="15.75" thickBot="1" x14ac:dyDescent="0.3">
      <c r="E458" s="17"/>
    </row>
    <row r="459" spans="5:5" ht="15.75" thickBot="1" x14ac:dyDescent="0.3">
      <c r="E459" s="17"/>
    </row>
    <row r="460" spans="5:5" ht="15.75" thickBot="1" x14ac:dyDescent="0.3">
      <c r="E460" s="17"/>
    </row>
    <row r="461" spans="5:5" ht="15.75" thickBot="1" x14ac:dyDescent="0.3">
      <c r="E461" s="17"/>
    </row>
    <row r="462" spans="5:5" ht="15.75" thickBot="1" x14ac:dyDescent="0.3">
      <c r="E462" s="17"/>
    </row>
    <row r="463" spans="5:5" ht="15.75" thickBot="1" x14ac:dyDescent="0.3">
      <c r="E463" s="17"/>
    </row>
    <row r="464" spans="5:5" ht="15.75" thickBot="1" x14ac:dyDescent="0.3">
      <c r="E464" s="17"/>
    </row>
    <row r="465" spans="5:5" ht="15.75" thickBot="1" x14ac:dyDescent="0.3">
      <c r="E465" s="17"/>
    </row>
    <row r="466" spans="5:5" ht="15.75" thickBot="1" x14ac:dyDescent="0.3">
      <c r="E466" s="17"/>
    </row>
    <row r="467" spans="5:5" ht="15.75" thickBot="1" x14ac:dyDescent="0.3">
      <c r="E467" s="17"/>
    </row>
    <row r="468" spans="5:5" ht="15.75" thickBot="1" x14ac:dyDescent="0.3">
      <c r="E468" s="17"/>
    </row>
    <row r="469" spans="5:5" ht="15.75" thickBot="1" x14ac:dyDescent="0.3">
      <c r="E469" s="17"/>
    </row>
    <row r="470" spans="5:5" ht="15.75" thickBot="1" x14ac:dyDescent="0.3">
      <c r="E470" s="17"/>
    </row>
    <row r="471" spans="5:5" ht="15.75" thickBot="1" x14ac:dyDescent="0.3">
      <c r="E471" s="17"/>
    </row>
    <row r="472" spans="5:5" ht="15.75" thickBot="1" x14ac:dyDescent="0.3">
      <c r="E472" s="17"/>
    </row>
    <row r="473" spans="5:5" ht="15.75" thickBot="1" x14ac:dyDescent="0.3">
      <c r="E473" s="17"/>
    </row>
    <row r="474" spans="5:5" ht="15.75" thickBot="1" x14ac:dyDescent="0.3">
      <c r="E474" s="17"/>
    </row>
    <row r="475" spans="5:5" ht="15.75" thickBot="1" x14ac:dyDescent="0.3">
      <c r="E475" s="17"/>
    </row>
    <row r="476" spans="5:5" ht="15.75" thickBot="1" x14ac:dyDescent="0.3">
      <c r="E476" s="17"/>
    </row>
    <row r="477" spans="5:5" ht="15.75" thickBot="1" x14ac:dyDescent="0.3">
      <c r="E477" s="17"/>
    </row>
    <row r="478" spans="5:5" ht="15.75" thickBot="1" x14ac:dyDescent="0.3">
      <c r="E478" s="17"/>
    </row>
    <row r="479" spans="5:5" ht="15.75" thickBot="1" x14ac:dyDescent="0.3">
      <c r="E479" s="17"/>
    </row>
    <row r="480" spans="5:5" ht="15.75" thickBot="1" x14ac:dyDescent="0.3">
      <c r="E480" s="17"/>
    </row>
    <row r="481" spans="5:5" ht="15.75" thickBot="1" x14ac:dyDescent="0.3">
      <c r="E481" s="17"/>
    </row>
    <row r="482" spans="5:5" ht="15.75" thickBot="1" x14ac:dyDescent="0.3">
      <c r="E482" s="17"/>
    </row>
    <row r="483" spans="5:5" ht="15.75" thickBot="1" x14ac:dyDescent="0.3">
      <c r="E483" s="17"/>
    </row>
    <row r="484" spans="5:5" ht="15.75" thickBot="1" x14ac:dyDescent="0.3">
      <c r="E484" s="17"/>
    </row>
    <row r="485" spans="5:5" ht="15.75" thickBot="1" x14ac:dyDescent="0.3">
      <c r="E485" s="17"/>
    </row>
    <row r="486" spans="5:5" ht="15.75" thickBot="1" x14ac:dyDescent="0.3">
      <c r="E486" s="17"/>
    </row>
    <row r="487" spans="5:5" ht="15.75" thickBot="1" x14ac:dyDescent="0.3">
      <c r="E487" s="17"/>
    </row>
    <row r="488" spans="5:5" ht="15.75" thickBot="1" x14ac:dyDescent="0.3">
      <c r="E488" s="17"/>
    </row>
    <row r="489" spans="5:5" ht="15.75" thickBot="1" x14ac:dyDescent="0.3">
      <c r="E489" s="17"/>
    </row>
    <row r="490" spans="5:5" ht="15.75" thickBot="1" x14ac:dyDescent="0.3">
      <c r="E490" s="17"/>
    </row>
    <row r="491" spans="5:5" ht="15.75" thickBot="1" x14ac:dyDescent="0.3">
      <c r="E491" s="17"/>
    </row>
    <row r="492" spans="5:5" ht="15.75" thickBot="1" x14ac:dyDescent="0.3">
      <c r="E492" s="17"/>
    </row>
    <row r="493" spans="5:5" ht="15.75" thickBot="1" x14ac:dyDescent="0.3">
      <c r="E493" s="17"/>
    </row>
    <row r="494" spans="5:5" ht="15.75" thickBot="1" x14ac:dyDescent="0.3">
      <c r="E494" s="17"/>
    </row>
    <row r="495" spans="5:5" ht="15.75" thickBot="1" x14ac:dyDescent="0.3">
      <c r="E495" s="17"/>
    </row>
    <row r="496" spans="5:5" ht="15.75" thickBot="1" x14ac:dyDescent="0.3">
      <c r="E496" s="17"/>
    </row>
    <row r="497" spans="5:5" ht="15.75" thickBot="1" x14ac:dyDescent="0.3">
      <c r="E497" s="17"/>
    </row>
    <row r="498" spans="5:5" ht="15.75" thickBot="1" x14ac:dyDescent="0.3">
      <c r="E498" s="17"/>
    </row>
    <row r="499" spans="5:5" ht="15.75" thickBot="1" x14ac:dyDescent="0.3">
      <c r="E499" s="17"/>
    </row>
    <row r="500" spans="5:5" ht="15.75" thickBot="1" x14ac:dyDescent="0.3">
      <c r="E500" s="17"/>
    </row>
    <row r="501" spans="5:5" ht="15.75" thickBot="1" x14ac:dyDescent="0.3">
      <c r="E501" s="17"/>
    </row>
    <row r="502" spans="5:5" ht="15.75" thickBot="1" x14ac:dyDescent="0.3">
      <c r="E502" s="17"/>
    </row>
    <row r="503" spans="5:5" ht="15.75" thickBot="1" x14ac:dyDescent="0.3">
      <c r="E503" s="17"/>
    </row>
    <row r="504" spans="5:5" ht="15.75" thickBot="1" x14ac:dyDescent="0.3">
      <c r="E504" s="17"/>
    </row>
    <row r="505" spans="5:5" ht="15.75" thickBot="1" x14ac:dyDescent="0.3">
      <c r="E505" s="17"/>
    </row>
    <row r="506" spans="5:5" ht="15.75" thickBot="1" x14ac:dyDescent="0.3">
      <c r="E506" s="17"/>
    </row>
    <row r="507" spans="5:5" ht="15.75" thickBot="1" x14ac:dyDescent="0.3">
      <c r="E507" s="17"/>
    </row>
    <row r="508" spans="5:5" ht="15.75" thickBot="1" x14ac:dyDescent="0.3">
      <c r="E508" s="17"/>
    </row>
    <row r="509" spans="5:5" ht="15.75" thickBot="1" x14ac:dyDescent="0.3">
      <c r="E509" s="17"/>
    </row>
    <row r="510" spans="5:5" ht="15.75" thickBot="1" x14ac:dyDescent="0.3">
      <c r="E510" s="17"/>
    </row>
    <row r="511" spans="5:5" ht="15.75" thickBot="1" x14ac:dyDescent="0.3">
      <c r="E511" s="17"/>
    </row>
    <row r="512" spans="5:5" ht="15.75" thickBot="1" x14ac:dyDescent="0.3">
      <c r="E512" s="17"/>
    </row>
    <row r="513" spans="5:5" ht="15.75" thickBot="1" x14ac:dyDescent="0.3">
      <c r="E513" s="17"/>
    </row>
    <row r="514" spans="5:5" ht="15.75" thickBot="1" x14ac:dyDescent="0.3">
      <c r="E514" s="17"/>
    </row>
    <row r="515" spans="5:5" ht="15.75" thickBot="1" x14ac:dyDescent="0.3">
      <c r="E515" s="17"/>
    </row>
    <row r="516" spans="5:5" ht="15.75" thickBot="1" x14ac:dyDescent="0.3">
      <c r="E516" s="17"/>
    </row>
    <row r="517" spans="5:5" ht="15.75" thickBot="1" x14ac:dyDescent="0.3">
      <c r="E517" s="17"/>
    </row>
    <row r="518" spans="5:5" ht="15.75" thickBot="1" x14ac:dyDescent="0.3">
      <c r="E518" s="17"/>
    </row>
    <row r="519" spans="5:5" ht="15.75" thickBot="1" x14ac:dyDescent="0.3">
      <c r="E519" s="17"/>
    </row>
    <row r="520" spans="5:5" ht="15.75" thickBot="1" x14ac:dyDescent="0.3">
      <c r="E520" s="17"/>
    </row>
    <row r="521" spans="5:5" ht="15.75" thickBot="1" x14ac:dyDescent="0.3">
      <c r="E521" s="17"/>
    </row>
    <row r="522" spans="5:5" ht="15.75" thickBot="1" x14ac:dyDescent="0.3">
      <c r="E522" s="17"/>
    </row>
    <row r="523" spans="5:5" ht="15.75" thickBot="1" x14ac:dyDescent="0.3">
      <c r="E523" s="17"/>
    </row>
    <row r="524" spans="5:5" ht="15.75" thickBot="1" x14ac:dyDescent="0.3">
      <c r="E524" s="17"/>
    </row>
    <row r="525" spans="5:5" ht="15.75" thickBot="1" x14ac:dyDescent="0.3">
      <c r="E525" s="17"/>
    </row>
    <row r="526" spans="5:5" ht="15.75" thickBot="1" x14ac:dyDescent="0.3">
      <c r="E526" s="17"/>
    </row>
    <row r="527" spans="5:5" ht="15.75" thickBot="1" x14ac:dyDescent="0.3">
      <c r="E527" s="17"/>
    </row>
    <row r="528" spans="5:5" ht="15.75" thickBot="1" x14ac:dyDescent="0.3">
      <c r="E528" s="17"/>
    </row>
    <row r="529" spans="5:5" ht="15.75" thickBot="1" x14ac:dyDescent="0.3">
      <c r="E529" s="17"/>
    </row>
    <row r="530" spans="5:5" ht="15.75" thickBot="1" x14ac:dyDescent="0.3">
      <c r="E530" s="17"/>
    </row>
    <row r="531" spans="5:5" ht="15.75" thickBot="1" x14ac:dyDescent="0.3">
      <c r="E531" s="17"/>
    </row>
    <row r="532" spans="5:5" ht="15.75" thickBot="1" x14ac:dyDescent="0.3">
      <c r="E532" s="17"/>
    </row>
    <row r="533" spans="5:5" ht="15.75" thickBot="1" x14ac:dyDescent="0.3">
      <c r="E533" s="17"/>
    </row>
    <row r="534" spans="5:5" ht="15.75" thickBot="1" x14ac:dyDescent="0.3">
      <c r="E534" s="17"/>
    </row>
    <row r="535" spans="5:5" ht="15.75" thickBot="1" x14ac:dyDescent="0.3">
      <c r="E535" s="17"/>
    </row>
    <row r="536" spans="5:5" ht="15.75" thickBot="1" x14ac:dyDescent="0.3">
      <c r="E536" s="17"/>
    </row>
    <row r="537" spans="5:5" ht="15.75" thickBot="1" x14ac:dyDescent="0.3">
      <c r="E537" s="17"/>
    </row>
    <row r="538" spans="5:5" ht="15.75" thickBot="1" x14ac:dyDescent="0.3">
      <c r="E538" s="17"/>
    </row>
    <row r="539" spans="5:5" ht="15.75" thickBot="1" x14ac:dyDescent="0.3">
      <c r="E539" s="17"/>
    </row>
    <row r="540" spans="5:5" ht="15.75" thickBot="1" x14ac:dyDescent="0.3">
      <c r="E540" s="17"/>
    </row>
    <row r="541" spans="5:5" ht="15.75" thickBot="1" x14ac:dyDescent="0.3">
      <c r="E541" s="17"/>
    </row>
    <row r="542" spans="5:5" ht="15.75" thickBot="1" x14ac:dyDescent="0.3">
      <c r="E542" s="17"/>
    </row>
    <row r="543" spans="5:5" ht="15.75" thickBot="1" x14ac:dyDescent="0.3">
      <c r="E543" s="17"/>
    </row>
    <row r="544" spans="5:5" ht="15.75" thickBot="1" x14ac:dyDescent="0.3">
      <c r="E544" s="17"/>
    </row>
    <row r="545" spans="5:5" ht="15.75" thickBot="1" x14ac:dyDescent="0.3">
      <c r="E545" s="17"/>
    </row>
    <row r="546" spans="5:5" ht="15.75" thickBot="1" x14ac:dyDescent="0.3">
      <c r="E546" s="17"/>
    </row>
    <row r="547" spans="5:5" ht="15.75" thickBot="1" x14ac:dyDescent="0.3">
      <c r="E547" s="17"/>
    </row>
    <row r="548" spans="5:5" ht="15.75" thickBot="1" x14ac:dyDescent="0.3">
      <c r="E548" s="17"/>
    </row>
    <row r="549" spans="5:5" ht="15.75" thickBot="1" x14ac:dyDescent="0.3">
      <c r="E549" s="17"/>
    </row>
    <row r="550" spans="5:5" ht="15.75" thickBot="1" x14ac:dyDescent="0.3">
      <c r="E550" s="17"/>
    </row>
    <row r="551" spans="5:5" ht="15.75" thickBot="1" x14ac:dyDescent="0.3">
      <c r="E551" s="17"/>
    </row>
    <row r="552" spans="5:5" ht="15.75" thickBot="1" x14ac:dyDescent="0.3">
      <c r="E552" s="17"/>
    </row>
    <row r="553" spans="5:5" ht="15.75" thickBot="1" x14ac:dyDescent="0.3">
      <c r="E553" s="17"/>
    </row>
    <row r="554" spans="5:5" ht="15.75" thickBot="1" x14ac:dyDescent="0.3">
      <c r="E554" s="17"/>
    </row>
    <row r="555" spans="5:5" ht="15.75" thickBot="1" x14ac:dyDescent="0.3">
      <c r="E555" s="17"/>
    </row>
    <row r="556" spans="5:5" ht="15.75" thickBot="1" x14ac:dyDescent="0.3">
      <c r="E556" s="17"/>
    </row>
    <row r="557" spans="5:5" ht="15.75" thickBot="1" x14ac:dyDescent="0.3">
      <c r="E557" s="17"/>
    </row>
    <row r="558" spans="5:5" ht="15.75" thickBot="1" x14ac:dyDescent="0.3">
      <c r="E558" s="17"/>
    </row>
    <row r="559" spans="5:5" ht="15.75" thickBot="1" x14ac:dyDescent="0.3">
      <c r="E559" s="17"/>
    </row>
    <row r="560" spans="5:5" ht="15.75" thickBot="1" x14ac:dyDescent="0.3">
      <c r="E560" s="17"/>
    </row>
    <row r="561" spans="5:5" ht="15.75" thickBot="1" x14ac:dyDescent="0.3">
      <c r="E561" s="17"/>
    </row>
    <row r="562" spans="5:5" ht="15.75" thickBot="1" x14ac:dyDescent="0.3">
      <c r="E562" s="17"/>
    </row>
    <row r="563" spans="5:5" ht="15.75" thickBot="1" x14ac:dyDescent="0.3">
      <c r="E563" s="17"/>
    </row>
    <row r="564" spans="5:5" ht="15.75" thickBot="1" x14ac:dyDescent="0.3">
      <c r="E564" s="17"/>
    </row>
    <row r="565" spans="5:5" ht="15.75" thickBot="1" x14ac:dyDescent="0.3">
      <c r="E565" s="17"/>
    </row>
    <row r="566" spans="5:5" ht="15.75" thickBot="1" x14ac:dyDescent="0.3">
      <c r="E566" s="17"/>
    </row>
    <row r="567" spans="5:5" ht="15.75" thickBot="1" x14ac:dyDescent="0.3">
      <c r="E567" s="17"/>
    </row>
    <row r="568" spans="5:5" ht="15.75" thickBot="1" x14ac:dyDescent="0.3">
      <c r="E568" s="17"/>
    </row>
    <row r="569" spans="5:5" ht="15.75" thickBot="1" x14ac:dyDescent="0.3">
      <c r="E569" s="17"/>
    </row>
    <row r="570" spans="5:5" ht="15.75" thickBot="1" x14ac:dyDescent="0.3">
      <c r="E570" s="17"/>
    </row>
    <row r="571" spans="5:5" ht="15.75" thickBot="1" x14ac:dyDescent="0.3">
      <c r="E571" s="17"/>
    </row>
    <row r="572" spans="5:5" ht="15.75" thickBot="1" x14ac:dyDescent="0.3">
      <c r="E572" s="17"/>
    </row>
    <row r="573" spans="5:5" ht="15.75" thickBot="1" x14ac:dyDescent="0.3">
      <c r="E573" s="17"/>
    </row>
    <row r="574" spans="5:5" ht="15.75" thickBot="1" x14ac:dyDescent="0.3">
      <c r="E574" s="17"/>
    </row>
    <row r="575" spans="5:5" ht="15.75" thickBot="1" x14ac:dyDescent="0.3">
      <c r="E575" s="17"/>
    </row>
    <row r="576" spans="5:5" ht="15.75" thickBot="1" x14ac:dyDescent="0.3">
      <c r="E576" s="17"/>
    </row>
    <row r="577" spans="5:5" ht="15.75" thickBot="1" x14ac:dyDescent="0.3">
      <c r="E577" s="17"/>
    </row>
    <row r="578" spans="5:5" ht="15.75" thickBot="1" x14ac:dyDescent="0.3">
      <c r="E578" s="17"/>
    </row>
    <row r="579" spans="5:5" ht="15.75" thickBot="1" x14ac:dyDescent="0.3">
      <c r="E579" s="17"/>
    </row>
    <row r="580" spans="5:5" ht="15.75" thickBot="1" x14ac:dyDescent="0.3">
      <c r="E580" s="17"/>
    </row>
    <row r="581" spans="5:5" ht="15.75" thickBot="1" x14ac:dyDescent="0.3">
      <c r="E581" s="17"/>
    </row>
    <row r="582" spans="5:5" ht="15.75" thickBot="1" x14ac:dyDescent="0.3">
      <c r="E582" s="17"/>
    </row>
    <row r="583" spans="5:5" ht="15.75" thickBot="1" x14ac:dyDescent="0.3">
      <c r="E583" s="17"/>
    </row>
    <row r="584" spans="5:5" ht="15.75" thickBot="1" x14ac:dyDescent="0.3">
      <c r="E584" s="17"/>
    </row>
    <row r="585" spans="5:5" ht="15.75" thickBot="1" x14ac:dyDescent="0.3">
      <c r="E585" s="17"/>
    </row>
    <row r="586" spans="5:5" ht="15.75" thickBot="1" x14ac:dyDescent="0.3">
      <c r="E586" s="17"/>
    </row>
    <row r="587" spans="5:5" ht="15.75" thickBot="1" x14ac:dyDescent="0.3">
      <c r="E587" s="17"/>
    </row>
    <row r="588" spans="5:5" ht="15.75" thickBot="1" x14ac:dyDescent="0.3">
      <c r="E588" s="17"/>
    </row>
    <row r="589" spans="5:5" ht="15.75" thickBot="1" x14ac:dyDescent="0.3">
      <c r="E589" s="17"/>
    </row>
    <row r="590" spans="5:5" ht="15.75" thickBot="1" x14ac:dyDescent="0.3">
      <c r="E590" s="17"/>
    </row>
    <row r="591" spans="5:5" ht="15.75" thickBot="1" x14ac:dyDescent="0.3">
      <c r="E591" s="17"/>
    </row>
    <row r="592" spans="5:5" ht="15.75" thickBot="1" x14ac:dyDescent="0.3">
      <c r="E592" s="17"/>
    </row>
    <row r="593" spans="5:5" ht="15.75" thickBot="1" x14ac:dyDescent="0.3">
      <c r="E593" s="17"/>
    </row>
    <row r="594" spans="5:5" ht="15.75" thickBot="1" x14ac:dyDescent="0.3">
      <c r="E594" s="17"/>
    </row>
    <row r="595" spans="5:5" ht="15.75" thickBot="1" x14ac:dyDescent="0.3">
      <c r="E595" s="17"/>
    </row>
    <row r="596" spans="5:5" ht="15.75" thickBot="1" x14ac:dyDescent="0.3">
      <c r="E596" s="17"/>
    </row>
    <row r="597" spans="5:5" ht="15.75" thickBot="1" x14ac:dyDescent="0.3">
      <c r="E597" s="17"/>
    </row>
    <row r="598" spans="5:5" ht="15.75" thickBot="1" x14ac:dyDescent="0.3">
      <c r="E598" s="17"/>
    </row>
    <row r="599" spans="5:5" ht="15.75" thickBot="1" x14ac:dyDescent="0.3">
      <c r="E599" s="17"/>
    </row>
    <row r="600" spans="5:5" ht="15.75" thickBot="1" x14ac:dyDescent="0.3">
      <c r="E600" s="17"/>
    </row>
    <row r="601" spans="5:5" ht="15.75" thickBot="1" x14ac:dyDescent="0.3">
      <c r="E601" s="17"/>
    </row>
    <row r="602" spans="5:5" ht="15.75" thickBot="1" x14ac:dyDescent="0.3">
      <c r="E602" s="17"/>
    </row>
    <row r="603" spans="5:5" ht="15.75" thickBot="1" x14ac:dyDescent="0.3">
      <c r="E603" s="17"/>
    </row>
    <row r="604" spans="5:5" ht="15.75" thickBot="1" x14ac:dyDescent="0.3">
      <c r="E604" s="17"/>
    </row>
    <row r="605" spans="5:5" ht="15.75" thickBot="1" x14ac:dyDescent="0.3">
      <c r="E605" s="17"/>
    </row>
    <row r="606" spans="5:5" ht="15.75" thickBot="1" x14ac:dyDescent="0.3">
      <c r="E606" s="17"/>
    </row>
    <row r="607" spans="5:5" ht="15.75" thickBot="1" x14ac:dyDescent="0.3">
      <c r="E607" s="17"/>
    </row>
    <row r="608" spans="5:5" ht="15.75" thickBot="1" x14ac:dyDescent="0.3">
      <c r="E608" s="17"/>
    </row>
    <row r="609" spans="5:5" ht="15.75" thickBot="1" x14ac:dyDescent="0.3">
      <c r="E609" s="17"/>
    </row>
    <row r="610" spans="5:5" ht="15.75" thickBot="1" x14ac:dyDescent="0.3">
      <c r="E610" s="17"/>
    </row>
    <row r="611" spans="5:5" ht="15.75" thickBot="1" x14ac:dyDescent="0.3">
      <c r="E611" s="17"/>
    </row>
    <row r="612" spans="5:5" ht="15.75" thickBot="1" x14ac:dyDescent="0.3">
      <c r="E612" s="17"/>
    </row>
    <row r="613" spans="5:5" ht="15.75" thickBot="1" x14ac:dyDescent="0.3">
      <c r="E613" s="17"/>
    </row>
    <row r="614" spans="5:5" ht="15.75" thickBot="1" x14ac:dyDescent="0.3">
      <c r="E614" s="17"/>
    </row>
    <row r="615" spans="5:5" ht="15.75" thickBot="1" x14ac:dyDescent="0.3">
      <c r="E615" s="17"/>
    </row>
    <row r="616" spans="5:5" ht="15.75" thickBot="1" x14ac:dyDescent="0.3">
      <c r="E616" s="17"/>
    </row>
    <row r="617" spans="5:5" ht="15.75" thickBot="1" x14ac:dyDescent="0.3">
      <c r="E617" s="17"/>
    </row>
    <row r="618" spans="5:5" ht="15.75" thickBot="1" x14ac:dyDescent="0.3">
      <c r="E618" s="17"/>
    </row>
    <row r="619" spans="5:5" ht="15.75" thickBot="1" x14ac:dyDescent="0.3">
      <c r="E619" s="17"/>
    </row>
    <row r="620" spans="5:5" ht="15.75" thickBot="1" x14ac:dyDescent="0.3">
      <c r="E620" s="17"/>
    </row>
    <row r="621" spans="5:5" ht="15.75" thickBot="1" x14ac:dyDescent="0.3">
      <c r="E621" s="17"/>
    </row>
    <row r="622" spans="5:5" ht="15.75" thickBot="1" x14ac:dyDescent="0.3">
      <c r="E622" s="17"/>
    </row>
    <row r="623" spans="5:5" ht="15.75" thickBot="1" x14ac:dyDescent="0.3">
      <c r="E623" s="17"/>
    </row>
    <row r="624" spans="5:5" ht="15.75" thickBot="1" x14ac:dyDescent="0.3">
      <c r="E624" s="17"/>
    </row>
    <row r="625" spans="5:5" ht="15.75" thickBot="1" x14ac:dyDescent="0.3">
      <c r="E625" s="17"/>
    </row>
    <row r="626" spans="5:5" ht="15.75" thickBot="1" x14ac:dyDescent="0.3">
      <c r="E626" s="17"/>
    </row>
    <row r="627" spans="5:5" ht="15.75" thickBot="1" x14ac:dyDescent="0.3">
      <c r="E627" s="17"/>
    </row>
    <row r="628" spans="5:5" ht="15.75" thickBot="1" x14ac:dyDescent="0.3">
      <c r="E628" s="17"/>
    </row>
    <row r="629" spans="5:5" ht="15.75" thickBot="1" x14ac:dyDescent="0.3">
      <c r="E629" s="17"/>
    </row>
    <row r="630" spans="5:5" ht="15.75" thickBot="1" x14ac:dyDescent="0.3">
      <c r="E630" s="17"/>
    </row>
    <row r="631" spans="5:5" ht="15.75" thickBot="1" x14ac:dyDescent="0.3">
      <c r="E631" s="17"/>
    </row>
    <row r="632" spans="5:5" ht="15.75" thickBot="1" x14ac:dyDescent="0.3">
      <c r="E632" s="17"/>
    </row>
    <row r="633" spans="5:5" ht="15.75" thickBot="1" x14ac:dyDescent="0.3">
      <c r="E633" s="17"/>
    </row>
    <row r="634" spans="5:5" ht="15.75" thickBot="1" x14ac:dyDescent="0.3">
      <c r="E634" s="17"/>
    </row>
    <row r="635" spans="5:5" ht="15.75" thickBot="1" x14ac:dyDescent="0.3">
      <c r="E635" s="17"/>
    </row>
    <row r="636" spans="5:5" ht="15.75" thickBot="1" x14ac:dyDescent="0.3">
      <c r="E636" s="17"/>
    </row>
    <row r="637" spans="5:5" ht="15.75" thickBot="1" x14ac:dyDescent="0.3">
      <c r="E637" s="17"/>
    </row>
    <row r="638" spans="5:5" ht="15.75" thickBot="1" x14ac:dyDescent="0.3">
      <c r="E638" s="17"/>
    </row>
    <row r="639" spans="5:5" ht="15.75" thickBot="1" x14ac:dyDescent="0.3">
      <c r="E639" s="17"/>
    </row>
    <row r="640" spans="5:5" ht="15.75" thickBot="1" x14ac:dyDescent="0.3">
      <c r="E640" s="17"/>
    </row>
    <row r="641" spans="5:5" ht="15.75" thickBot="1" x14ac:dyDescent="0.3">
      <c r="E641" s="17"/>
    </row>
    <row r="642" spans="5:5" ht="15.75" thickBot="1" x14ac:dyDescent="0.3">
      <c r="E642" s="17"/>
    </row>
    <row r="643" spans="5:5" ht="15.75" thickBot="1" x14ac:dyDescent="0.3">
      <c r="E643" s="17"/>
    </row>
    <row r="644" spans="5:5" ht="15.75" thickBot="1" x14ac:dyDescent="0.3">
      <c r="E644" s="17"/>
    </row>
    <row r="645" spans="5:5" ht="15.75" thickBot="1" x14ac:dyDescent="0.3">
      <c r="E645" s="17"/>
    </row>
    <row r="646" spans="5:5" ht="15.75" thickBot="1" x14ac:dyDescent="0.3">
      <c r="E646" s="17"/>
    </row>
    <row r="647" spans="5:5" ht="15.75" thickBot="1" x14ac:dyDescent="0.3">
      <c r="E647" s="17"/>
    </row>
    <row r="648" spans="5:5" ht="15.75" thickBot="1" x14ac:dyDescent="0.3">
      <c r="E648" s="17"/>
    </row>
    <row r="649" spans="5:5" ht="15.75" thickBot="1" x14ac:dyDescent="0.3">
      <c r="E649" s="17"/>
    </row>
    <row r="650" spans="5:5" ht="15.75" thickBot="1" x14ac:dyDescent="0.3">
      <c r="E650" s="17"/>
    </row>
    <row r="651" spans="5:5" ht="15.75" thickBot="1" x14ac:dyDescent="0.3">
      <c r="E651" s="17"/>
    </row>
    <row r="652" spans="5:5" ht="15.75" thickBot="1" x14ac:dyDescent="0.3">
      <c r="E652" s="17"/>
    </row>
    <row r="653" spans="5:5" ht="15.75" thickBot="1" x14ac:dyDescent="0.3">
      <c r="E653" s="17"/>
    </row>
    <row r="654" spans="5:5" ht="15.75" thickBot="1" x14ac:dyDescent="0.3">
      <c r="E654" s="17"/>
    </row>
    <row r="655" spans="5:5" ht="15.75" thickBot="1" x14ac:dyDescent="0.3">
      <c r="E655" s="17"/>
    </row>
    <row r="656" spans="5:5" ht="15.75" thickBot="1" x14ac:dyDescent="0.3">
      <c r="E656" s="17"/>
    </row>
    <row r="657" spans="5:5" ht="15.75" thickBot="1" x14ac:dyDescent="0.3">
      <c r="E657" s="17"/>
    </row>
    <row r="658" spans="5:5" ht="15.75" thickBot="1" x14ac:dyDescent="0.3">
      <c r="E658" s="17"/>
    </row>
    <row r="659" spans="5:5" ht="15.75" thickBot="1" x14ac:dyDescent="0.3">
      <c r="E659" s="17"/>
    </row>
    <row r="660" spans="5:5" ht="15.75" thickBot="1" x14ac:dyDescent="0.3">
      <c r="E660" s="17"/>
    </row>
    <row r="661" spans="5:5" ht="15.75" thickBot="1" x14ac:dyDescent="0.3">
      <c r="E661" s="17"/>
    </row>
    <row r="662" spans="5:5" ht="15.75" thickBot="1" x14ac:dyDescent="0.3">
      <c r="E662" s="17"/>
    </row>
    <row r="663" spans="5:5" ht="15.75" thickBot="1" x14ac:dyDescent="0.3">
      <c r="E663" s="17"/>
    </row>
    <row r="664" spans="5:5" ht="15.75" thickBot="1" x14ac:dyDescent="0.3">
      <c r="E664" s="17"/>
    </row>
    <row r="665" spans="5:5" ht="15.75" thickBot="1" x14ac:dyDescent="0.3">
      <c r="E665" s="17"/>
    </row>
    <row r="666" spans="5:5" ht="15.75" thickBot="1" x14ac:dyDescent="0.3">
      <c r="E666" s="17"/>
    </row>
    <row r="667" spans="5:5" ht="15.75" thickBot="1" x14ac:dyDescent="0.3">
      <c r="E667" s="17"/>
    </row>
    <row r="668" spans="5:5" ht="15.75" thickBot="1" x14ac:dyDescent="0.3">
      <c r="E668" s="17"/>
    </row>
    <row r="669" spans="5:5" ht="15.75" thickBot="1" x14ac:dyDescent="0.3">
      <c r="E669" s="17"/>
    </row>
    <row r="670" spans="5:5" ht="15.75" thickBot="1" x14ac:dyDescent="0.3">
      <c r="E670" s="17"/>
    </row>
    <row r="671" spans="5:5" ht="15.75" thickBot="1" x14ac:dyDescent="0.3">
      <c r="E671" s="17"/>
    </row>
    <row r="672" spans="5:5" ht="15.75" thickBot="1" x14ac:dyDescent="0.3">
      <c r="E672" s="17"/>
    </row>
    <row r="673" spans="5:5" ht="15.75" thickBot="1" x14ac:dyDescent="0.3">
      <c r="E673" s="17"/>
    </row>
    <row r="674" spans="5:5" ht="15.75" thickBot="1" x14ac:dyDescent="0.3">
      <c r="E674" s="17"/>
    </row>
    <row r="675" spans="5:5" ht="15.75" thickBot="1" x14ac:dyDescent="0.3">
      <c r="E675" s="17"/>
    </row>
    <row r="676" spans="5:5" ht="15.75" thickBot="1" x14ac:dyDescent="0.3">
      <c r="E676" s="17"/>
    </row>
    <row r="677" spans="5:5" ht="15.75" thickBot="1" x14ac:dyDescent="0.3">
      <c r="E677" s="17"/>
    </row>
    <row r="678" spans="5:5" ht="15.75" thickBot="1" x14ac:dyDescent="0.3">
      <c r="E678" s="17"/>
    </row>
    <row r="679" spans="5:5" ht="15.75" thickBot="1" x14ac:dyDescent="0.3">
      <c r="E679" s="17"/>
    </row>
    <row r="680" spans="5:5" ht="15.75" thickBot="1" x14ac:dyDescent="0.3">
      <c r="E680" s="17"/>
    </row>
    <row r="681" spans="5:5" ht="15.75" thickBot="1" x14ac:dyDescent="0.3">
      <c r="E681" s="17"/>
    </row>
    <row r="682" spans="5:5" ht="15.75" thickBot="1" x14ac:dyDescent="0.3">
      <c r="E682" s="17"/>
    </row>
    <row r="683" spans="5:5" ht="15.75" thickBot="1" x14ac:dyDescent="0.3">
      <c r="E683" s="17"/>
    </row>
    <row r="684" spans="5:5" ht="15.75" thickBot="1" x14ac:dyDescent="0.3">
      <c r="E684" s="17"/>
    </row>
    <row r="685" spans="5:5" ht="15.75" thickBot="1" x14ac:dyDescent="0.3">
      <c r="E685" s="17"/>
    </row>
    <row r="686" spans="5:5" ht="15.75" thickBot="1" x14ac:dyDescent="0.3">
      <c r="E686" s="17"/>
    </row>
    <row r="687" spans="5:5" ht="15.75" thickBot="1" x14ac:dyDescent="0.3">
      <c r="E687" s="17"/>
    </row>
    <row r="688" spans="5:5" ht="15.75" thickBot="1" x14ac:dyDescent="0.3">
      <c r="E688" s="17"/>
    </row>
    <row r="689" spans="5:5" ht="15.75" thickBot="1" x14ac:dyDescent="0.3">
      <c r="E689" s="17"/>
    </row>
    <row r="690" spans="5:5" ht="15.75" thickBot="1" x14ac:dyDescent="0.3">
      <c r="E690" s="17"/>
    </row>
    <row r="691" spans="5:5" ht="15.75" thickBot="1" x14ac:dyDescent="0.3">
      <c r="E691" s="17"/>
    </row>
    <row r="692" spans="5:5" ht="15.75" thickBot="1" x14ac:dyDescent="0.3">
      <c r="E692" s="17"/>
    </row>
    <row r="693" spans="5:5" ht="15.75" thickBot="1" x14ac:dyDescent="0.3">
      <c r="E693" s="17"/>
    </row>
    <row r="694" spans="5:5" ht="15.75" thickBot="1" x14ac:dyDescent="0.3">
      <c r="E694" s="17"/>
    </row>
    <row r="695" spans="5:5" ht="15.75" thickBot="1" x14ac:dyDescent="0.3">
      <c r="E695" s="17"/>
    </row>
    <row r="696" spans="5:5" ht="15.75" thickBot="1" x14ac:dyDescent="0.3">
      <c r="E696" s="17"/>
    </row>
    <row r="697" spans="5:5" ht="15.75" thickBot="1" x14ac:dyDescent="0.3">
      <c r="E697" s="17"/>
    </row>
    <row r="698" spans="5:5" ht="15.75" thickBot="1" x14ac:dyDescent="0.3">
      <c r="E698" s="17"/>
    </row>
    <row r="699" spans="5:5" ht="15.75" thickBot="1" x14ac:dyDescent="0.3">
      <c r="E699" s="17"/>
    </row>
    <row r="700" spans="5:5" ht="15.75" thickBot="1" x14ac:dyDescent="0.3">
      <c r="E700" s="17"/>
    </row>
    <row r="701" spans="5:5" ht="15.75" thickBot="1" x14ac:dyDescent="0.3">
      <c r="E701" s="17"/>
    </row>
    <row r="702" spans="5:5" ht="15.75" thickBot="1" x14ac:dyDescent="0.3">
      <c r="E702" s="17"/>
    </row>
    <row r="703" spans="5:5" ht="15.75" thickBot="1" x14ac:dyDescent="0.3">
      <c r="E703" s="17"/>
    </row>
    <row r="704" spans="5:5" ht="15.75" thickBot="1" x14ac:dyDescent="0.3">
      <c r="E704" s="17"/>
    </row>
    <row r="705" spans="5:5" ht="15.75" thickBot="1" x14ac:dyDescent="0.3">
      <c r="E705" s="17"/>
    </row>
    <row r="706" spans="5:5" ht="15.75" thickBot="1" x14ac:dyDescent="0.3">
      <c r="E706" s="17"/>
    </row>
    <row r="707" spans="5:5" ht="15.75" thickBot="1" x14ac:dyDescent="0.3">
      <c r="E707" s="17"/>
    </row>
    <row r="708" spans="5:5" ht="15.75" thickBot="1" x14ac:dyDescent="0.3">
      <c r="E708" s="17"/>
    </row>
    <row r="709" spans="5:5" ht="15.75" thickBot="1" x14ac:dyDescent="0.3">
      <c r="E709" s="17"/>
    </row>
    <row r="710" spans="5:5" ht="15.75" thickBot="1" x14ac:dyDescent="0.3">
      <c r="E710" s="17"/>
    </row>
    <row r="711" spans="5:5" ht="15.75" thickBot="1" x14ac:dyDescent="0.3">
      <c r="E711" s="17"/>
    </row>
    <row r="712" spans="5:5" ht="15.75" thickBot="1" x14ac:dyDescent="0.3">
      <c r="E712" s="17"/>
    </row>
    <row r="713" spans="5:5" ht="15.75" thickBot="1" x14ac:dyDescent="0.3">
      <c r="E713" s="17"/>
    </row>
    <row r="714" spans="5:5" ht="15.75" thickBot="1" x14ac:dyDescent="0.3">
      <c r="E714" s="17"/>
    </row>
    <row r="715" spans="5:5" ht="15.75" thickBot="1" x14ac:dyDescent="0.3">
      <c r="E715" s="17"/>
    </row>
    <row r="716" spans="5:5" ht="15.75" thickBot="1" x14ac:dyDescent="0.3">
      <c r="E716" s="17"/>
    </row>
    <row r="717" spans="5:5" ht="15.75" thickBot="1" x14ac:dyDescent="0.3">
      <c r="E717" s="17"/>
    </row>
    <row r="718" spans="5:5" ht="15.75" thickBot="1" x14ac:dyDescent="0.3">
      <c r="E718" s="17"/>
    </row>
    <row r="719" spans="5:5" ht="15.75" thickBot="1" x14ac:dyDescent="0.3">
      <c r="E719" s="17"/>
    </row>
    <row r="720" spans="5:5" ht="15.75" thickBot="1" x14ac:dyDescent="0.3">
      <c r="E720" s="17"/>
    </row>
    <row r="721" spans="5:5" ht="15.75" thickBot="1" x14ac:dyDescent="0.3">
      <c r="E721" s="17"/>
    </row>
    <row r="722" spans="5:5" ht="15.75" thickBot="1" x14ac:dyDescent="0.3">
      <c r="E722" s="17"/>
    </row>
    <row r="723" spans="5:5" ht="15.75" thickBot="1" x14ac:dyDescent="0.3">
      <c r="E723" s="17"/>
    </row>
    <row r="724" spans="5:5" ht="15.75" thickBot="1" x14ac:dyDescent="0.3">
      <c r="E724" s="17"/>
    </row>
    <row r="725" spans="5:5" ht="15.75" thickBot="1" x14ac:dyDescent="0.3">
      <c r="E725" s="17"/>
    </row>
    <row r="726" spans="5:5" ht="15.75" thickBot="1" x14ac:dyDescent="0.3">
      <c r="E726" s="17"/>
    </row>
    <row r="727" spans="5:5" ht="15.75" thickBot="1" x14ac:dyDescent="0.3">
      <c r="E727" s="17"/>
    </row>
    <row r="728" spans="5:5" ht="15.75" thickBot="1" x14ac:dyDescent="0.3">
      <c r="E728" s="17"/>
    </row>
    <row r="729" spans="5:5" ht="15.75" thickBot="1" x14ac:dyDescent="0.3">
      <c r="E729" s="17"/>
    </row>
    <row r="730" spans="5:5" ht="15.75" thickBot="1" x14ac:dyDescent="0.3">
      <c r="E730" s="17"/>
    </row>
    <row r="731" spans="5:5" ht="15.75" thickBot="1" x14ac:dyDescent="0.3">
      <c r="E731" s="17"/>
    </row>
    <row r="732" spans="5:5" ht="15.75" thickBot="1" x14ac:dyDescent="0.3">
      <c r="E732" s="17"/>
    </row>
    <row r="733" spans="5:5" ht="15.75" thickBot="1" x14ac:dyDescent="0.3">
      <c r="E733" s="17"/>
    </row>
    <row r="734" spans="5:5" ht="15.75" thickBot="1" x14ac:dyDescent="0.3">
      <c r="E734" s="17"/>
    </row>
    <row r="735" spans="5:5" ht="15.75" thickBot="1" x14ac:dyDescent="0.3">
      <c r="E735" s="17"/>
    </row>
    <row r="736" spans="5:5" ht="15.75" thickBot="1" x14ac:dyDescent="0.3">
      <c r="E736" s="17"/>
    </row>
    <row r="737" spans="5:5" ht="15.75" thickBot="1" x14ac:dyDescent="0.3">
      <c r="E737" s="17"/>
    </row>
    <row r="738" spans="5:5" ht="15.75" thickBot="1" x14ac:dyDescent="0.3">
      <c r="E738" s="17"/>
    </row>
    <row r="739" spans="5:5" ht="15.75" thickBot="1" x14ac:dyDescent="0.3">
      <c r="E739" s="17"/>
    </row>
    <row r="740" spans="5:5" ht="15.75" thickBot="1" x14ac:dyDescent="0.3">
      <c r="E740" s="17"/>
    </row>
    <row r="741" spans="5:5" ht="15.75" thickBot="1" x14ac:dyDescent="0.3">
      <c r="E741" s="17"/>
    </row>
    <row r="742" spans="5:5" ht="15.75" thickBot="1" x14ac:dyDescent="0.3">
      <c r="E742" s="17"/>
    </row>
    <row r="743" spans="5:5" ht="15.75" thickBot="1" x14ac:dyDescent="0.3">
      <c r="E743" s="17"/>
    </row>
    <row r="744" spans="5:5" ht="15.75" thickBot="1" x14ac:dyDescent="0.3">
      <c r="E744" s="17"/>
    </row>
    <row r="745" spans="5:5" ht="15.75" thickBot="1" x14ac:dyDescent="0.3">
      <c r="E745" s="17"/>
    </row>
    <row r="746" spans="5:5" ht="15.75" thickBot="1" x14ac:dyDescent="0.3">
      <c r="E746" s="17"/>
    </row>
    <row r="747" spans="5:5" ht="15.75" thickBot="1" x14ac:dyDescent="0.3">
      <c r="E747" s="17"/>
    </row>
    <row r="748" spans="5:5" ht="15.75" thickBot="1" x14ac:dyDescent="0.3">
      <c r="E748" s="17"/>
    </row>
    <row r="749" spans="5:5" ht="15.75" thickBot="1" x14ac:dyDescent="0.3">
      <c r="E749" s="17"/>
    </row>
    <row r="750" spans="5:5" ht="15.75" thickBot="1" x14ac:dyDescent="0.3">
      <c r="E750" s="17"/>
    </row>
    <row r="751" spans="5:5" ht="15.75" thickBot="1" x14ac:dyDescent="0.3">
      <c r="E751" s="17"/>
    </row>
    <row r="752" spans="5:5" ht="15.75" thickBot="1" x14ac:dyDescent="0.3">
      <c r="E752" s="17"/>
    </row>
    <row r="753" spans="5:5" ht="15.75" thickBot="1" x14ac:dyDescent="0.3">
      <c r="E753" s="17"/>
    </row>
    <row r="754" spans="5:5" ht="15.75" thickBot="1" x14ac:dyDescent="0.3">
      <c r="E754" s="17"/>
    </row>
    <row r="755" spans="5:5" ht="15.75" thickBot="1" x14ac:dyDescent="0.3">
      <c r="E755" s="17"/>
    </row>
    <row r="756" spans="5:5" ht="15.75" thickBot="1" x14ac:dyDescent="0.3">
      <c r="E756" s="17"/>
    </row>
    <row r="757" spans="5:5" ht="15.75" thickBot="1" x14ac:dyDescent="0.3">
      <c r="E757" s="17"/>
    </row>
    <row r="758" spans="5:5" ht="15.75" thickBot="1" x14ac:dyDescent="0.3">
      <c r="E758" s="17"/>
    </row>
    <row r="759" spans="5:5" ht="15.75" thickBot="1" x14ac:dyDescent="0.3">
      <c r="E759" s="17"/>
    </row>
    <row r="760" spans="5:5" ht="15.75" thickBot="1" x14ac:dyDescent="0.3">
      <c r="E760" s="17"/>
    </row>
    <row r="761" spans="5:5" ht="15.75" thickBot="1" x14ac:dyDescent="0.3">
      <c r="E761" s="17"/>
    </row>
    <row r="762" spans="5:5" ht="15.75" thickBot="1" x14ac:dyDescent="0.3">
      <c r="E762" s="17"/>
    </row>
    <row r="763" spans="5:5" ht="15.75" thickBot="1" x14ac:dyDescent="0.3">
      <c r="E763" s="17"/>
    </row>
    <row r="764" spans="5:5" ht="15.75" thickBot="1" x14ac:dyDescent="0.3">
      <c r="E764" s="17"/>
    </row>
    <row r="765" spans="5:5" ht="15.75" thickBot="1" x14ac:dyDescent="0.3">
      <c r="E765" s="17"/>
    </row>
    <row r="766" spans="5:5" ht="15.75" thickBot="1" x14ac:dyDescent="0.3">
      <c r="E766" s="17"/>
    </row>
    <row r="767" spans="5:5" ht="15.75" thickBot="1" x14ac:dyDescent="0.3">
      <c r="E767" s="17"/>
    </row>
    <row r="768" spans="5:5" ht="15.75" thickBot="1" x14ac:dyDescent="0.3">
      <c r="E768" s="17"/>
    </row>
    <row r="769" spans="5:5" ht="15.75" thickBot="1" x14ac:dyDescent="0.3">
      <c r="E769" s="17"/>
    </row>
    <row r="770" spans="5:5" ht="15.75" thickBot="1" x14ac:dyDescent="0.3">
      <c r="E770" s="17"/>
    </row>
    <row r="771" spans="5:5" ht="15.75" thickBot="1" x14ac:dyDescent="0.3">
      <c r="E771" s="17"/>
    </row>
    <row r="772" spans="5:5" ht="15.75" thickBot="1" x14ac:dyDescent="0.3">
      <c r="E772" s="17"/>
    </row>
    <row r="773" spans="5:5" ht="15.75" thickBot="1" x14ac:dyDescent="0.3">
      <c r="E773" s="17"/>
    </row>
    <row r="774" spans="5:5" ht="15.75" thickBot="1" x14ac:dyDescent="0.3">
      <c r="E774" s="17"/>
    </row>
    <row r="775" spans="5:5" ht="15.75" thickBot="1" x14ac:dyDescent="0.3">
      <c r="E775" s="17"/>
    </row>
    <row r="776" spans="5:5" ht="15.75" thickBot="1" x14ac:dyDescent="0.3">
      <c r="E776" s="17"/>
    </row>
    <row r="777" spans="5:5" ht="15.75" thickBot="1" x14ac:dyDescent="0.3">
      <c r="E777" s="17"/>
    </row>
    <row r="778" spans="5:5" ht="15.75" thickBot="1" x14ac:dyDescent="0.3">
      <c r="E778" s="17"/>
    </row>
    <row r="779" spans="5:5" ht="15.75" thickBot="1" x14ac:dyDescent="0.3">
      <c r="E779" s="17"/>
    </row>
    <row r="780" spans="5:5" ht="15.75" thickBot="1" x14ac:dyDescent="0.3">
      <c r="E780" s="17"/>
    </row>
    <row r="781" spans="5:5" ht="15.75" thickBot="1" x14ac:dyDescent="0.3">
      <c r="E781" s="17"/>
    </row>
    <row r="782" spans="5:5" ht="15.75" thickBot="1" x14ac:dyDescent="0.3">
      <c r="E782" s="17"/>
    </row>
    <row r="783" spans="5:5" ht="15.75" thickBot="1" x14ac:dyDescent="0.3">
      <c r="E783" s="17"/>
    </row>
    <row r="784" spans="5:5" ht="15.75" thickBot="1" x14ac:dyDescent="0.3">
      <c r="E784" s="17"/>
    </row>
    <row r="785" spans="5:5" ht="15.75" thickBot="1" x14ac:dyDescent="0.3">
      <c r="E785" s="17"/>
    </row>
    <row r="786" spans="5:5" ht="15.75" thickBot="1" x14ac:dyDescent="0.3">
      <c r="E786" s="17"/>
    </row>
    <row r="787" spans="5:5" ht="15.75" thickBot="1" x14ac:dyDescent="0.3">
      <c r="E787" s="17"/>
    </row>
    <row r="788" spans="5:5" ht="15.75" thickBot="1" x14ac:dyDescent="0.3">
      <c r="E788" s="17"/>
    </row>
    <row r="789" spans="5:5" ht="15.75" thickBot="1" x14ac:dyDescent="0.3">
      <c r="E789" s="17"/>
    </row>
    <row r="790" spans="5:5" ht="15.75" thickBot="1" x14ac:dyDescent="0.3">
      <c r="E790" s="17"/>
    </row>
    <row r="791" spans="5:5" ht="15.75" thickBot="1" x14ac:dyDescent="0.3">
      <c r="E791" s="17"/>
    </row>
    <row r="792" spans="5:5" ht="15.75" thickBot="1" x14ac:dyDescent="0.3">
      <c r="E792" s="17"/>
    </row>
    <row r="793" spans="5:5" ht="15.75" thickBot="1" x14ac:dyDescent="0.3">
      <c r="E793" s="17"/>
    </row>
    <row r="794" spans="5:5" ht="15.75" thickBot="1" x14ac:dyDescent="0.3">
      <c r="E794" s="17"/>
    </row>
    <row r="795" spans="5:5" ht="15.75" thickBot="1" x14ac:dyDescent="0.3">
      <c r="E795" s="17"/>
    </row>
    <row r="796" spans="5:5" ht="15.75" thickBot="1" x14ac:dyDescent="0.3">
      <c r="E796" s="17"/>
    </row>
    <row r="797" spans="5:5" ht="15.75" thickBot="1" x14ac:dyDescent="0.3">
      <c r="E797" s="17"/>
    </row>
    <row r="798" spans="5:5" ht="15.75" thickBot="1" x14ac:dyDescent="0.3">
      <c r="E798" s="17"/>
    </row>
    <row r="799" spans="5:5" ht="15.75" thickBot="1" x14ac:dyDescent="0.3">
      <c r="E799" s="17"/>
    </row>
    <row r="800" spans="5:5" ht="15.75" thickBot="1" x14ac:dyDescent="0.3">
      <c r="E800" s="17"/>
    </row>
    <row r="801" spans="5:5" ht="15.75" thickBot="1" x14ac:dyDescent="0.3">
      <c r="E801" s="17"/>
    </row>
    <row r="802" spans="5:5" ht="15.75" thickBot="1" x14ac:dyDescent="0.3">
      <c r="E802" s="17"/>
    </row>
    <row r="803" spans="5:5" ht="15.75" thickBot="1" x14ac:dyDescent="0.3">
      <c r="E803" s="17"/>
    </row>
    <row r="804" spans="5:5" ht="15.75" thickBot="1" x14ac:dyDescent="0.3">
      <c r="E804" s="17"/>
    </row>
    <row r="805" spans="5:5" ht="15.75" thickBot="1" x14ac:dyDescent="0.3">
      <c r="E805" s="17"/>
    </row>
    <row r="806" spans="5:5" ht="15.75" thickBot="1" x14ac:dyDescent="0.3">
      <c r="E806" s="17"/>
    </row>
    <row r="807" spans="5:5" ht="15.75" thickBot="1" x14ac:dyDescent="0.3">
      <c r="E807" s="17"/>
    </row>
    <row r="808" spans="5:5" ht="15.75" thickBot="1" x14ac:dyDescent="0.3">
      <c r="E808" s="17"/>
    </row>
    <row r="809" spans="5:5" ht="15.75" thickBot="1" x14ac:dyDescent="0.3">
      <c r="E809" s="17"/>
    </row>
    <row r="810" spans="5:5" ht="15.75" thickBot="1" x14ac:dyDescent="0.3">
      <c r="E810" s="17"/>
    </row>
    <row r="811" spans="5:5" ht="15.75" thickBot="1" x14ac:dyDescent="0.3">
      <c r="E811" s="17"/>
    </row>
    <row r="812" spans="5:5" ht="15.75" thickBot="1" x14ac:dyDescent="0.3">
      <c r="E812" s="17"/>
    </row>
    <row r="813" spans="5:5" ht="15.75" thickBot="1" x14ac:dyDescent="0.3">
      <c r="E813" s="17"/>
    </row>
    <row r="814" spans="5:5" ht="15.75" thickBot="1" x14ac:dyDescent="0.3">
      <c r="E814" s="17"/>
    </row>
    <row r="815" spans="5:5" ht="15.75" thickBot="1" x14ac:dyDescent="0.3">
      <c r="E815" s="17"/>
    </row>
    <row r="816" spans="5:5" ht="15.75" thickBot="1" x14ac:dyDescent="0.3">
      <c r="E816" s="17"/>
    </row>
    <row r="817" spans="5:5" ht="15.75" thickBot="1" x14ac:dyDescent="0.3">
      <c r="E817" s="17"/>
    </row>
    <row r="818" spans="5:5" ht="15.75" thickBot="1" x14ac:dyDescent="0.3">
      <c r="E818" s="17"/>
    </row>
    <row r="819" spans="5:5" ht="15.75" thickBot="1" x14ac:dyDescent="0.3">
      <c r="E819" s="17"/>
    </row>
    <row r="820" spans="5:5" ht="15.75" thickBot="1" x14ac:dyDescent="0.3">
      <c r="E820" s="17"/>
    </row>
    <row r="821" spans="5:5" ht="15.75" thickBot="1" x14ac:dyDescent="0.3">
      <c r="E821" s="17"/>
    </row>
    <row r="822" spans="5:5" ht="15.75" thickBot="1" x14ac:dyDescent="0.3">
      <c r="E822" s="17"/>
    </row>
    <row r="823" spans="5:5" ht="15.75" thickBot="1" x14ac:dyDescent="0.3">
      <c r="E823" s="17"/>
    </row>
    <row r="824" spans="5:5" ht="15.75" thickBot="1" x14ac:dyDescent="0.3">
      <c r="E824" s="17"/>
    </row>
    <row r="825" spans="5:5" ht="15.75" thickBot="1" x14ac:dyDescent="0.3">
      <c r="E825" s="17"/>
    </row>
    <row r="826" spans="5:5" ht="15.75" thickBot="1" x14ac:dyDescent="0.3">
      <c r="E826" s="17"/>
    </row>
    <row r="827" spans="5:5" ht="15.75" thickBot="1" x14ac:dyDescent="0.3">
      <c r="E827" s="17"/>
    </row>
    <row r="828" spans="5:5" ht="15.75" thickBot="1" x14ac:dyDescent="0.3">
      <c r="E828" s="17"/>
    </row>
    <row r="829" spans="5:5" ht="15.75" thickBot="1" x14ac:dyDescent="0.3">
      <c r="E829" s="17"/>
    </row>
    <row r="830" spans="5:5" ht="15.75" thickBot="1" x14ac:dyDescent="0.3">
      <c r="E830" s="17"/>
    </row>
    <row r="831" spans="5:5" ht="15.75" thickBot="1" x14ac:dyDescent="0.3">
      <c r="E831" s="17"/>
    </row>
    <row r="832" spans="5:5" ht="15.75" thickBot="1" x14ac:dyDescent="0.3">
      <c r="E832" s="17"/>
    </row>
    <row r="833" spans="5:5" ht="15.75" thickBot="1" x14ac:dyDescent="0.3">
      <c r="E833" s="17"/>
    </row>
    <row r="834" spans="5:5" ht="15.75" thickBot="1" x14ac:dyDescent="0.3">
      <c r="E834" s="17"/>
    </row>
    <row r="835" spans="5:5" ht="15.75" thickBot="1" x14ac:dyDescent="0.3">
      <c r="E835" s="17"/>
    </row>
    <row r="836" spans="5:5" ht="15.75" thickBot="1" x14ac:dyDescent="0.3">
      <c r="E836" s="17"/>
    </row>
    <row r="837" spans="5:5" ht="15.75" thickBot="1" x14ac:dyDescent="0.3">
      <c r="E837" s="17"/>
    </row>
    <row r="838" spans="5:5" ht="15.75" thickBot="1" x14ac:dyDescent="0.3">
      <c r="E838" s="17"/>
    </row>
    <row r="839" spans="5:5" ht="15.75" thickBot="1" x14ac:dyDescent="0.3">
      <c r="E839" s="17"/>
    </row>
    <row r="840" spans="5:5" ht="15.75" thickBot="1" x14ac:dyDescent="0.3">
      <c r="E840" s="17"/>
    </row>
    <row r="841" spans="5:5" ht="15.75" thickBot="1" x14ac:dyDescent="0.3">
      <c r="E841" s="17"/>
    </row>
    <row r="842" spans="5:5" ht="15.75" thickBot="1" x14ac:dyDescent="0.3">
      <c r="E842" s="17"/>
    </row>
    <row r="843" spans="5:5" ht="15.75" thickBot="1" x14ac:dyDescent="0.3">
      <c r="E843" s="17"/>
    </row>
    <row r="844" spans="5:5" ht="15.75" thickBot="1" x14ac:dyDescent="0.3">
      <c r="E844" s="17"/>
    </row>
    <row r="845" spans="5:5" ht="15.75" thickBot="1" x14ac:dyDescent="0.3">
      <c r="E845" s="17"/>
    </row>
    <row r="846" spans="5:5" ht="15.75" thickBot="1" x14ac:dyDescent="0.3">
      <c r="E846" s="17"/>
    </row>
    <row r="847" spans="5:5" ht="15.75" thickBot="1" x14ac:dyDescent="0.3">
      <c r="E847" s="17"/>
    </row>
    <row r="848" spans="5:5" ht="15.75" thickBot="1" x14ac:dyDescent="0.3">
      <c r="E848" s="17"/>
    </row>
    <row r="849" spans="5:5" ht="15.75" thickBot="1" x14ac:dyDescent="0.3">
      <c r="E849" s="17"/>
    </row>
    <row r="850" spans="5:5" ht="15.75" thickBot="1" x14ac:dyDescent="0.3">
      <c r="E850" s="17"/>
    </row>
    <row r="851" spans="5:5" ht="15.75" thickBot="1" x14ac:dyDescent="0.3">
      <c r="E851" s="17"/>
    </row>
    <row r="852" spans="5:5" ht="15.75" thickBot="1" x14ac:dyDescent="0.3">
      <c r="E852" s="17"/>
    </row>
    <row r="853" spans="5:5" ht="15.75" thickBot="1" x14ac:dyDescent="0.3">
      <c r="E853" s="17"/>
    </row>
    <row r="854" spans="5:5" ht="15.75" thickBot="1" x14ac:dyDescent="0.3">
      <c r="E854" s="17"/>
    </row>
    <row r="855" spans="5:5" ht="15.75" thickBot="1" x14ac:dyDescent="0.3">
      <c r="E855" s="17"/>
    </row>
    <row r="856" spans="5:5" ht="15.75" thickBot="1" x14ac:dyDescent="0.3">
      <c r="E856" s="17"/>
    </row>
    <row r="857" spans="5:5" ht="15.75" thickBot="1" x14ac:dyDescent="0.3">
      <c r="E857" s="17"/>
    </row>
    <row r="858" spans="5:5" ht="15.75" thickBot="1" x14ac:dyDescent="0.3">
      <c r="E858" s="17"/>
    </row>
    <row r="859" spans="5:5" ht="15.75" thickBot="1" x14ac:dyDescent="0.3">
      <c r="E859" s="17"/>
    </row>
    <row r="860" spans="5:5" ht="15.75" thickBot="1" x14ac:dyDescent="0.3">
      <c r="E860" s="17"/>
    </row>
    <row r="861" spans="5:5" ht="15.75" thickBot="1" x14ac:dyDescent="0.3">
      <c r="E861" s="17"/>
    </row>
    <row r="862" spans="5:5" ht="15.75" thickBot="1" x14ac:dyDescent="0.3">
      <c r="E862" s="17"/>
    </row>
    <row r="863" spans="5:5" ht="15.75" thickBot="1" x14ac:dyDescent="0.3">
      <c r="E863" s="17"/>
    </row>
    <row r="864" spans="5:5" ht="15.75" thickBot="1" x14ac:dyDescent="0.3">
      <c r="E864" s="17"/>
    </row>
    <row r="865" spans="5:5" ht="15.75" thickBot="1" x14ac:dyDescent="0.3">
      <c r="E865" s="17"/>
    </row>
    <row r="866" spans="5:5" ht="15.75" thickBot="1" x14ac:dyDescent="0.3">
      <c r="E866" s="17"/>
    </row>
    <row r="867" spans="5:5" ht="15.75" thickBot="1" x14ac:dyDescent="0.3">
      <c r="E867" s="17"/>
    </row>
    <row r="868" spans="5:5" ht="15.75" thickBot="1" x14ac:dyDescent="0.3">
      <c r="E868" s="17"/>
    </row>
    <row r="869" spans="5:5" ht="15.75" thickBot="1" x14ac:dyDescent="0.3">
      <c r="E869" s="17"/>
    </row>
    <row r="870" spans="5:5" ht="15.75" thickBot="1" x14ac:dyDescent="0.3">
      <c r="E870" s="17"/>
    </row>
    <row r="871" spans="5:5" ht="15.75" thickBot="1" x14ac:dyDescent="0.3">
      <c r="E871" s="17"/>
    </row>
    <row r="872" spans="5:5" ht="15.75" thickBot="1" x14ac:dyDescent="0.3">
      <c r="E872" s="17"/>
    </row>
    <row r="873" spans="5:5" ht="15.75" thickBot="1" x14ac:dyDescent="0.3">
      <c r="E873" s="17"/>
    </row>
    <row r="874" spans="5:5" ht="15.75" thickBot="1" x14ac:dyDescent="0.3">
      <c r="E874" s="17"/>
    </row>
    <row r="875" spans="5:5" ht="15.75" thickBot="1" x14ac:dyDescent="0.3">
      <c r="E875" s="17"/>
    </row>
    <row r="876" spans="5:5" ht="15.75" thickBot="1" x14ac:dyDescent="0.3">
      <c r="E876" s="17"/>
    </row>
    <row r="877" spans="5:5" ht="15.75" thickBot="1" x14ac:dyDescent="0.3">
      <c r="E877" s="17"/>
    </row>
    <row r="878" spans="5:5" ht="15.75" thickBot="1" x14ac:dyDescent="0.3">
      <c r="E878" s="17"/>
    </row>
    <row r="879" spans="5:5" ht="15.75" thickBot="1" x14ac:dyDescent="0.3">
      <c r="E879" s="17"/>
    </row>
    <row r="880" spans="5:5" ht="15.75" thickBot="1" x14ac:dyDescent="0.3">
      <c r="E880" s="17"/>
    </row>
    <row r="881" spans="5:5" ht="15.75" thickBot="1" x14ac:dyDescent="0.3">
      <c r="E881" s="17"/>
    </row>
    <row r="882" spans="5:5" ht="15.75" thickBot="1" x14ac:dyDescent="0.3">
      <c r="E882" s="17"/>
    </row>
    <row r="883" spans="5:5" ht="15.75" thickBot="1" x14ac:dyDescent="0.3">
      <c r="E883" s="17"/>
    </row>
    <row r="884" spans="5:5" ht="15.75" thickBot="1" x14ac:dyDescent="0.3">
      <c r="E884" s="17"/>
    </row>
    <row r="885" spans="5:5" ht="15.75" thickBot="1" x14ac:dyDescent="0.3">
      <c r="E885" s="17"/>
    </row>
    <row r="886" spans="5:5" ht="15.75" thickBot="1" x14ac:dyDescent="0.3">
      <c r="E886" s="17"/>
    </row>
    <row r="887" spans="5:5" ht="15.75" thickBot="1" x14ac:dyDescent="0.3">
      <c r="E887" s="17"/>
    </row>
    <row r="888" spans="5:5" ht="15.75" thickBot="1" x14ac:dyDescent="0.3">
      <c r="E888" s="17"/>
    </row>
    <row r="889" spans="5:5" ht="15.75" thickBot="1" x14ac:dyDescent="0.3">
      <c r="E889" s="17"/>
    </row>
    <row r="890" spans="5:5" ht="15.75" thickBot="1" x14ac:dyDescent="0.3">
      <c r="E890" s="17"/>
    </row>
    <row r="891" spans="5:5" ht="15.75" thickBot="1" x14ac:dyDescent="0.3">
      <c r="E891" s="17"/>
    </row>
    <row r="892" spans="5:5" ht="15.75" thickBot="1" x14ac:dyDescent="0.3">
      <c r="E892" s="17"/>
    </row>
    <row r="893" spans="5:5" ht="15.75" thickBot="1" x14ac:dyDescent="0.3">
      <c r="E893" s="17"/>
    </row>
    <row r="894" spans="5:5" ht="15.75" thickBot="1" x14ac:dyDescent="0.3">
      <c r="E894" s="17"/>
    </row>
    <row r="895" spans="5:5" ht="15.75" thickBot="1" x14ac:dyDescent="0.3">
      <c r="E895" s="17"/>
    </row>
    <row r="896" spans="5:5" ht="15.75" thickBot="1" x14ac:dyDescent="0.3">
      <c r="E896" s="17"/>
    </row>
    <row r="897" spans="5:5" ht="15.75" thickBot="1" x14ac:dyDescent="0.3">
      <c r="E897" s="17"/>
    </row>
    <row r="898" spans="5:5" ht="15.75" thickBot="1" x14ac:dyDescent="0.3">
      <c r="E898" s="17"/>
    </row>
    <row r="899" spans="5:5" ht="15.75" thickBot="1" x14ac:dyDescent="0.3">
      <c r="E899" s="17"/>
    </row>
    <row r="900" spans="5:5" ht="15.75" thickBot="1" x14ac:dyDescent="0.3">
      <c r="E900" s="17"/>
    </row>
    <row r="901" spans="5:5" ht="15.75" thickBot="1" x14ac:dyDescent="0.3">
      <c r="E901" s="17"/>
    </row>
    <row r="902" spans="5:5" ht="15.75" thickBot="1" x14ac:dyDescent="0.3">
      <c r="E902" s="17"/>
    </row>
    <row r="903" spans="5:5" ht="15.75" thickBot="1" x14ac:dyDescent="0.3">
      <c r="E903" s="17"/>
    </row>
    <row r="904" spans="5:5" ht="15.75" thickBot="1" x14ac:dyDescent="0.3">
      <c r="E904" s="17"/>
    </row>
    <row r="905" spans="5:5" ht="15.75" thickBot="1" x14ac:dyDescent="0.3">
      <c r="E905" s="17"/>
    </row>
    <row r="906" spans="5:5" ht="15.75" thickBot="1" x14ac:dyDescent="0.3">
      <c r="E906" s="17"/>
    </row>
    <row r="907" spans="5:5" ht="15.75" thickBot="1" x14ac:dyDescent="0.3">
      <c r="E907" s="17"/>
    </row>
    <row r="908" spans="5:5" ht="15.75" thickBot="1" x14ac:dyDescent="0.3">
      <c r="E908" s="17"/>
    </row>
    <row r="909" spans="5:5" ht="15.75" thickBot="1" x14ac:dyDescent="0.3">
      <c r="E909" s="17"/>
    </row>
    <row r="910" spans="5:5" ht="15.75" thickBot="1" x14ac:dyDescent="0.3">
      <c r="E910" s="17"/>
    </row>
    <row r="911" spans="5:5" ht="15.75" thickBot="1" x14ac:dyDescent="0.3">
      <c r="E911" s="17"/>
    </row>
    <row r="912" spans="5:5" ht="15.75" thickBot="1" x14ac:dyDescent="0.3">
      <c r="E912" s="17"/>
    </row>
    <row r="913" spans="5:5" ht="15.75" thickBot="1" x14ac:dyDescent="0.3">
      <c r="E913" s="17"/>
    </row>
    <row r="914" spans="5:5" ht="15.75" thickBot="1" x14ac:dyDescent="0.3">
      <c r="E914" s="17"/>
    </row>
    <row r="915" spans="5:5" ht="15.75" thickBot="1" x14ac:dyDescent="0.3">
      <c r="E915" s="17"/>
    </row>
    <row r="916" spans="5:5" ht="15.75" thickBot="1" x14ac:dyDescent="0.3">
      <c r="E916" s="17"/>
    </row>
    <row r="917" spans="5:5" ht="15.75" thickBot="1" x14ac:dyDescent="0.3">
      <c r="E917" s="17"/>
    </row>
    <row r="918" spans="5:5" ht="15.75" thickBot="1" x14ac:dyDescent="0.3">
      <c r="E918" s="17"/>
    </row>
    <row r="919" spans="5:5" ht="15.75" thickBot="1" x14ac:dyDescent="0.3">
      <c r="E919" s="17"/>
    </row>
    <row r="920" spans="5:5" ht="15.75" thickBot="1" x14ac:dyDescent="0.3">
      <c r="E920" s="17"/>
    </row>
    <row r="921" spans="5:5" ht="15.75" thickBot="1" x14ac:dyDescent="0.3">
      <c r="E921" s="17"/>
    </row>
    <row r="922" spans="5:5" ht="15.75" thickBot="1" x14ac:dyDescent="0.3">
      <c r="E922" s="17"/>
    </row>
    <row r="923" spans="5:5" ht="15.75" thickBot="1" x14ac:dyDescent="0.3">
      <c r="E923" s="17"/>
    </row>
    <row r="924" spans="5:5" ht="15.75" thickBot="1" x14ac:dyDescent="0.3">
      <c r="E924" s="17"/>
    </row>
    <row r="925" spans="5:5" ht="15.75" thickBot="1" x14ac:dyDescent="0.3">
      <c r="E925" s="17"/>
    </row>
    <row r="926" spans="5:5" ht="15.75" thickBot="1" x14ac:dyDescent="0.3">
      <c r="E926" s="17"/>
    </row>
    <row r="927" spans="5:5" ht="15.75" thickBot="1" x14ac:dyDescent="0.3">
      <c r="E927" s="17"/>
    </row>
    <row r="928" spans="5:5" ht="15.75" thickBot="1" x14ac:dyDescent="0.3">
      <c r="E928" s="17"/>
    </row>
    <row r="929" spans="5:5" ht="15.75" thickBot="1" x14ac:dyDescent="0.3">
      <c r="E929" s="17"/>
    </row>
    <row r="930" spans="5:5" ht="15.75" thickBot="1" x14ac:dyDescent="0.3">
      <c r="E930" s="17"/>
    </row>
    <row r="931" spans="5:5" ht="15.75" thickBot="1" x14ac:dyDescent="0.3">
      <c r="E931" s="17"/>
    </row>
    <row r="932" spans="5:5" ht="15.75" thickBot="1" x14ac:dyDescent="0.3">
      <c r="E932" s="17"/>
    </row>
    <row r="933" spans="5:5" ht="15.75" thickBot="1" x14ac:dyDescent="0.3">
      <c r="E933" s="17"/>
    </row>
    <row r="934" spans="5:5" ht="15.75" thickBot="1" x14ac:dyDescent="0.3">
      <c r="E934" s="17"/>
    </row>
    <row r="935" spans="5:5" ht="15.75" thickBot="1" x14ac:dyDescent="0.3">
      <c r="E935" s="17"/>
    </row>
    <row r="936" spans="5:5" ht="15.75" thickBot="1" x14ac:dyDescent="0.3">
      <c r="E936" s="17"/>
    </row>
    <row r="937" spans="5:5" ht="15.75" thickBot="1" x14ac:dyDescent="0.3">
      <c r="E937" s="17"/>
    </row>
    <row r="938" spans="5:5" ht="15.75" thickBot="1" x14ac:dyDescent="0.3">
      <c r="E938" s="17"/>
    </row>
    <row r="939" spans="5:5" ht="15.75" thickBot="1" x14ac:dyDescent="0.3">
      <c r="E939" s="17"/>
    </row>
    <row r="940" spans="5:5" ht="15.75" thickBot="1" x14ac:dyDescent="0.3">
      <c r="E940" s="17"/>
    </row>
    <row r="941" spans="5:5" ht="15.75" thickBot="1" x14ac:dyDescent="0.3">
      <c r="E941" s="17"/>
    </row>
    <row r="942" spans="5:5" ht="15.75" thickBot="1" x14ac:dyDescent="0.3">
      <c r="E942" s="17"/>
    </row>
    <row r="943" spans="5:5" ht="15.75" thickBot="1" x14ac:dyDescent="0.3">
      <c r="E943" s="17"/>
    </row>
    <row r="944" spans="5:5" ht="15.75" thickBot="1" x14ac:dyDescent="0.3">
      <c r="E944" s="17"/>
    </row>
    <row r="945" spans="5:5" ht="15.75" thickBot="1" x14ac:dyDescent="0.3">
      <c r="E945" s="17"/>
    </row>
    <row r="946" spans="5:5" ht="15.75" thickBot="1" x14ac:dyDescent="0.3">
      <c r="E946" s="17"/>
    </row>
    <row r="947" spans="5:5" ht="15.75" thickBot="1" x14ac:dyDescent="0.3">
      <c r="E947" s="17"/>
    </row>
    <row r="948" spans="5:5" ht="15.75" thickBot="1" x14ac:dyDescent="0.3">
      <c r="E948" s="17"/>
    </row>
    <row r="949" spans="5:5" ht="15.75" thickBot="1" x14ac:dyDescent="0.3">
      <c r="E949" s="17"/>
    </row>
    <row r="950" spans="5:5" ht="15.75" thickBot="1" x14ac:dyDescent="0.3">
      <c r="E950" s="17"/>
    </row>
    <row r="951" spans="5:5" ht="15.75" thickBot="1" x14ac:dyDescent="0.3">
      <c r="E951" s="17"/>
    </row>
    <row r="952" spans="5:5" ht="15.75" thickBot="1" x14ac:dyDescent="0.3">
      <c r="E952" s="17"/>
    </row>
    <row r="953" spans="5:5" ht="15.75" thickBot="1" x14ac:dyDescent="0.3">
      <c r="E953" s="17"/>
    </row>
    <row r="954" spans="5:5" ht="15.75" thickBot="1" x14ac:dyDescent="0.3">
      <c r="E954" s="17"/>
    </row>
    <row r="955" spans="5:5" ht="15.75" thickBot="1" x14ac:dyDescent="0.3">
      <c r="E955" s="17"/>
    </row>
    <row r="956" spans="5:5" ht="15.75" thickBot="1" x14ac:dyDescent="0.3">
      <c r="E956" s="17"/>
    </row>
    <row r="957" spans="5:5" ht="15.75" thickBot="1" x14ac:dyDescent="0.3">
      <c r="E957" s="17"/>
    </row>
    <row r="958" spans="5:5" ht="15.75" thickBot="1" x14ac:dyDescent="0.3">
      <c r="E958" s="17"/>
    </row>
    <row r="959" spans="5:5" ht="15.75" thickBot="1" x14ac:dyDescent="0.3">
      <c r="E959" s="17"/>
    </row>
    <row r="960" spans="5:5" ht="15.75" thickBot="1" x14ac:dyDescent="0.3">
      <c r="E960" s="17"/>
    </row>
    <row r="961" spans="5:5" ht="15.75" thickBot="1" x14ac:dyDescent="0.3">
      <c r="E961" s="17"/>
    </row>
    <row r="962" spans="5:5" ht="15.75" thickBot="1" x14ac:dyDescent="0.3">
      <c r="E962" s="17"/>
    </row>
    <row r="963" spans="5:5" ht="15.75" thickBot="1" x14ac:dyDescent="0.3">
      <c r="E963" s="17"/>
    </row>
    <row r="964" spans="5:5" ht="15.75" thickBot="1" x14ac:dyDescent="0.3">
      <c r="E964" s="17"/>
    </row>
    <row r="965" spans="5:5" ht="15.75" thickBot="1" x14ac:dyDescent="0.3">
      <c r="E965" s="17"/>
    </row>
    <row r="966" spans="5:5" ht="15.75" thickBot="1" x14ac:dyDescent="0.3">
      <c r="E966" s="17"/>
    </row>
    <row r="967" spans="5:5" ht="15.75" thickBot="1" x14ac:dyDescent="0.3">
      <c r="E967" s="17"/>
    </row>
    <row r="968" spans="5:5" ht="15.75" thickBot="1" x14ac:dyDescent="0.3">
      <c r="E968" s="17"/>
    </row>
    <row r="969" spans="5:5" ht="15.75" thickBot="1" x14ac:dyDescent="0.3">
      <c r="E969" s="17"/>
    </row>
    <row r="970" spans="5:5" ht="15.75" thickBot="1" x14ac:dyDescent="0.3">
      <c r="E970" s="17"/>
    </row>
    <row r="971" spans="5:5" ht="15.75" thickBot="1" x14ac:dyDescent="0.3">
      <c r="E971" s="17"/>
    </row>
    <row r="972" spans="5:5" ht="15.75" thickBot="1" x14ac:dyDescent="0.3">
      <c r="E972" s="17"/>
    </row>
    <row r="973" spans="5:5" ht="15.75" thickBot="1" x14ac:dyDescent="0.3">
      <c r="E973" s="17"/>
    </row>
    <row r="974" spans="5:5" ht="15.75" thickBot="1" x14ac:dyDescent="0.3">
      <c r="E974" s="17"/>
    </row>
    <row r="975" spans="5:5" ht="15.75" thickBot="1" x14ac:dyDescent="0.3">
      <c r="E975" s="17"/>
    </row>
    <row r="976" spans="5:5" ht="15.75" thickBot="1" x14ac:dyDescent="0.3">
      <c r="E976" s="17"/>
    </row>
    <row r="977" spans="5:5" ht="15.75" thickBot="1" x14ac:dyDescent="0.3">
      <c r="E977" s="17"/>
    </row>
    <row r="978" spans="5:5" ht="15.75" thickBot="1" x14ac:dyDescent="0.3">
      <c r="E978" s="17"/>
    </row>
    <row r="979" spans="5:5" ht="15.75" thickBot="1" x14ac:dyDescent="0.3">
      <c r="E979" s="17"/>
    </row>
    <row r="980" spans="5:5" ht="15.75" thickBot="1" x14ac:dyDescent="0.3">
      <c r="E980" s="17"/>
    </row>
    <row r="981" spans="5:5" ht="15.75" thickBot="1" x14ac:dyDescent="0.3">
      <c r="E981" s="17"/>
    </row>
    <row r="982" spans="5:5" ht="15.75" thickBot="1" x14ac:dyDescent="0.3">
      <c r="E982" s="17"/>
    </row>
    <row r="983" spans="5:5" ht="15.75" thickBot="1" x14ac:dyDescent="0.3">
      <c r="E983" s="17"/>
    </row>
    <row r="984" spans="5:5" ht="15.75" thickBot="1" x14ac:dyDescent="0.3">
      <c r="E984" s="17"/>
    </row>
    <row r="985" spans="5:5" ht="15.75" thickBot="1" x14ac:dyDescent="0.3">
      <c r="E985" s="17"/>
    </row>
    <row r="986" spans="5:5" ht="15.75" thickBot="1" x14ac:dyDescent="0.3">
      <c r="E986" s="17"/>
    </row>
    <row r="987" spans="5:5" ht="15.75" thickBot="1" x14ac:dyDescent="0.3">
      <c r="E987" s="17"/>
    </row>
    <row r="988" spans="5:5" ht="15.75" thickBot="1" x14ac:dyDescent="0.3">
      <c r="E988" s="17"/>
    </row>
    <row r="989" spans="5:5" ht="15.75" thickBot="1" x14ac:dyDescent="0.3">
      <c r="E989" s="17"/>
    </row>
    <row r="990" spans="5:5" ht="15.75" thickBot="1" x14ac:dyDescent="0.3">
      <c r="E990" s="17"/>
    </row>
    <row r="991" spans="5:5" ht="15.75" thickBot="1" x14ac:dyDescent="0.3">
      <c r="E991" s="17"/>
    </row>
    <row r="992" spans="5:5" ht="15.75" thickBot="1" x14ac:dyDescent="0.3">
      <c r="E992" s="17"/>
    </row>
    <row r="993" spans="5:5" ht="15.75" thickBot="1" x14ac:dyDescent="0.3">
      <c r="E993" s="17"/>
    </row>
    <row r="994" spans="5:5" ht="15.75" thickBot="1" x14ac:dyDescent="0.3">
      <c r="E994" s="17"/>
    </row>
    <row r="995" spans="5:5" ht="15.75" thickBot="1" x14ac:dyDescent="0.3">
      <c r="E995" s="17"/>
    </row>
    <row r="996" spans="5:5" ht="15.75" thickBot="1" x14ac:dyDescent="0.3">
      <c r="E996" s="17"/>
    </row>
    <row r="997" spans="5:5" ht="15.75" thickBot="1" x14ac:dyDescent="0.3">
      <c r="E997" s="17"/>
    </row>
    <row r="998" spans="5:5" ht="15.75" thickBot="1" x14ac:dyDescent="0.3">
      <c r="E998" s="17"/>
    </row>
    <row r="999" spans="5:5" ht="15.75" thickBot="1" x14ac:dyDescent="0.3">
      <c r="E999" s="17"/>
    </row>
    <row r="1000" spans="5:5" ht="15.75" thickBot="1" x14ac:dyDescent="0.3">
      <c r="E1000" s="17"/>
    </row>
  </sheetData>
  <sortState xmlns:xlrd2="http://schemas.microsoft.com/office/spreadsheetml/2017/richdata2" ref="A2:E1000">
    <sortCondition ref="A2:A100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A4790-9B8B-4F68-9A33-BA28A45C3571}">
  <dimension ref="A1:E1000"/>
  <sheetViews>
    <sheetView zoomScale="64" workbookViewId="0">
      <selection activeCell="N4" sqref="N4"/>
    </sheetView>
  </sheetViews>
  <sheetFormatPr baseColWidth="10" defaultRowHeight="15" x14ac:dyDescent="0.25"/>
  <cols>
    <col min="1" max="1" width="11.42578125" style="4"/>
    <col min="2" max="2" width="19.42578125" customWidth="1"/>
    <col min="3" max="3" width="22.42578125" style="4" customWidth="1"/>
    <col min="4" max="4" width="21.28515625" customWidth="1"/>
  </cols>
  <sheetData>
    <row r="1" spans="1:5" ht="15.75" thickBot="1" x14ac:dyDescent="0.3">
      <c r="A1" s="7" t="s">
        <v>1067</v>
      </c>
      <c r="B1" s="5" t="s">
        <v>0</v>
      </c>
      <c r="C1" s="5" t="s">
        <v>51</v>
      </c>
      <c r="D1" s="5" t="s">
        <v>52</v>
      </c>
      <c r="E1" s="16" t="s">
        <v>1016</v>
      </c>
    </row>
    <row r="2" spans="1:5" ht="90.75" thickBot="1" x14ac:dyDescent="0.3">
      <c r="A2" s="4">
        <f>_xlfn.XLOOKUP(E2,Orden_preguntas!$B:$B,Orden_preguntas!$A:$A)</f>
        <v>1</v>
      </c>
      <c r="B2" s="6" t="s">
        <v>413</v>
      </c>
      <c r="C2" s="8">
        <v>0.4</v>
      </c>
      <c r="D2" s="6" t="s">
        <v>463</v>
      </c>
      <c r="E2" s="17" t="s">
        <v>1027</v>
      </c>
    </row>
    <row r="3" spans="1:5" ht="90.75" thickBot="1" x14ac:dyDescent="0.3">
      <c r="A3" s="4">
        <f>_xlfn.XLOOKUP(E3,Orden_preguntas!$B:$B,Orden_preguntas!$A:$A)</f>
        <v>2</v>
      </c>
      <c r="B3" s="6" t="s">
        <v>418</v>
      </c>
      <c r="C3" s="8">
        <v>0.3</v>
      </c>
      <c r="D3" s="6" t="s">
        <v>468</v>
      </c>
      <c r="E3" s="17" t="s">
        <v>1032</v>
      </c>
    </row>
    <row r="4" spans="1:5" ht="105.75" thickBot="1" x14ac:dyDescent="0.3">
      <c r="A4" s="4">
        <f>_xlfn.XLOOKUP(E4,Orden_preguntas!$B:$B,Orden_preguntas!$A:$A)</f>
        <v>3</v>
      </c>
      <c r="B4" s="6" t="s">
        <v>408</v>
      </c>
      <c r="C4" s="8">
        <v>0.3</v>
      </c>
      <c r="D4" s="6" t="s">
        <v>458</v>
      </c>
      <c r="E4" s="17" t="s">
        <v>1022</v>
      </c>
    </row>
    <row r="5" spans="1:5" ht="105.75" thickBot="1" x14ac:dyDescent="0.3">
      <c r="A5" s="4">
        <f>_xlfn.XLOOKUP(E5,Orden_preguntas!$B:$B,Orden_preguntas!$A:$A)</f>
        <v>4</v>
      </c>
      <c r="B5" s="6" t="s">
        <v>422</v>
      </c>
      <c r="C5" s="8">
        <v>0.4</v>
      </c>
      <c r="D5" s="6" t="s">
        <v>472</v>
      </c>
      <c r="E5" s="17" t="s">
        <v>1036</v>
      </c>
    </row>
    <row r="6" spans="1:5" ht="105.75" thickBot="1" x14ac:dyDescent="0.3">
      <c r="A6" s="4">
        <f>_xlfn.XLOOKUP(E6,Orden_preguntas!$B:$B,Orden_preguntas!$A:$A)</f>
        <v>5</v>
      </c>
      <c r="B6" s="6" t="s">
        <v>414</v>
      </c>
      <c r="C6" s="8">
        <v>1</v>
      </c>
      <c r="D6" s="6" t="s">
        <v>464</v>
      </c>
      <c r="E6" s="17" t="s">
        <v>1028</v>
      </c>
    </row>
    <row r="7" spans="1:5" ht="90.75" thickBot="1" x14ac:dyDescent="0.3">
      <c r="A7" s="4">
        <f>_xlfn.XLOOKUP(E7,Orden_preguntas!$B:$B,Orden_preguntas!$A:$A)</f>
        <v>6</v>
      </c>
      <c r="B7" s="6" t="s">
        <v>410</v>
      </c>
      <c r="C7" s="8">
        <v>0.2</v>
      </c>
      <c r="D7" s="6" t="s">
        <v>460</v>
      </c>
      <c r="E7" s="17" t="s">
        <v>1024</v>
      </c>
    </row>
    <row r="8" spans="1:5" ht="120.75" thickBot="1" x14ac:dyDescent="0.3">
      <c r="A8" s="4">
        <f>_xlfn.XLOOKUP(E8,Orden_preguntas!$B:$B,Orden_preguntas!$A:$A)</f>
        <v>7</v>
      </c>
      <c r="B8" s="6" t="s">
        <v>416</v>
      </c>
      <c r="C8" s="8">
        <v>0.3</v>
      </c>
      <c r="D8" s="6" t="s">
        <v>466</v>
      </c>
      <c r="E8" s="17" t="s">
        <v>1030</v>
      </c>
    </row>
    <row r="9" spans="1:5" ht="105.75" thickBot="1" x14ac:dyDescent="0.3">
      <c r="A9" s="4">
        <f>_xlfn.XLOOKUP(E9,Orden_preguntas!$B:$B,Orden_preguntas!$A:$A)</f>
        <v>8</v>
      </c>
      <c r="B9" s="6" t="s">
        <v>406</v>
      </c>
      <c r="C9" s="8">
        <v>0.3</v>
      </c>
      <c r="D9" s="6" t="s">
        <v>456</v>
      </c>
      <c r="E9" s="17" t="s">
        <v>1020</v>
      </c>
    </row>
    <row r="10" spans="1:5" ht="90.75" thickBot="1" x14ac:dyDescent="0.3">
      <c r="A10" s="4">
        <f>_xlfn.XLOOKUP(E10,Orden_preguntas!$B:$B,Orden_preguntas!$A:$A)</f>
        <v>9</v>
      </c>
      <c r="B10" s="6" t="s">
        <v>420</v>
      </c>
      <c r="C10" s="8">
        <v>0.3</v>
      </c>
      <c r="D10" s="6" t="s">
        <v>470</v>
      </c>
      <c r="E10" s="17" t="s">
        <v>1034</v>
      </c>
    </row>
    <row r="11" spans="1:5" ht="90.75" thickBot="1" x14ac:dyDescent="0.3">
      <c r="A11" s="4">
        <f>_xlfn.XLOOKUP(E11,Orden_preguntas!$B:$B,Orden_preguntas!$A:$A)</f>
        <v>10</v>
      </c>
      <c r="B11" s="6" t="s">
        <v>421</v>
      </c>
      <c r="C11" s="8">
        <v>0.3</v>
      </c>
      <c r="D11" s="6" t="s">
        <v>471</v>
      </c>
      <c r="E11" s="17" t="s">
        <v>1035</v>
      </c>
    </row>
    <row r="12" spans="1:5" ht="135.75" thickBot="1" x14ac:dyDescent="0.3">
      <c r="A12" s="4">
        <f>_xlfn.XLOOKUP(E12,Orden_preguntas!$B:$B,Orden_preguntas!$A:$A)</f>
        <v>11</v>
      </c>
      <c r="B12" s="6" t="s">
        <v>403</v>
      </c>
      <c r="C12" s="8">
        <v>0.3</v>
      </c>
      <c r="D12" s="6" t="s">
        <v>453</v>
      </c>
      <c r="E12" s="17" t="s">
        <v>1017</v>
      </c>
    </row>
    <row r="13" spans="1:5" ht="120.75" thickBot="1" x14ac:dyDescent="0.3">
      <c r="A13" s="4">
        <f>_xlfn.XLOOKUP(E13,Orden_preguntas!$B:$B,Orden_preguntas!$A:$A)</f>
        <v>12</v>
      </c>
      <c r="B13" s="6" t="s">
        <v>409</v>
      </c>
      <c r="C13" s="8">
        <v>0.2</v>
      </c>
      <c r="D13" s="6" t="s">
        <v>459</v>
      </c>
      <c r="E13" s="17" t="s">
        <v>1023</v>
      </c>
    </row>
    <row r="14" spans="1:5" ht="135.75" thickBot="1" x14ac:dyDescent="0.3">
      <c r="A14" s="4">
        <f>_xlfn.XLOOKUP(E14,Orden_preguntas!$B:$B,Orden_preguntas!$A:$A)</f>
        <v>13</v>
      </c>
      <c r="B14" s="6" t="s">
        <v>419</v>
      </c>
      <c r="C14" s="8">
        <v>0.3</v>
      </c>
      <c r="D14" s="6" t="s">
        <v>469</v>
      </c>
      <c r="E14" s="17" t="s">
        <v>1033</v>
      </c>
    </row>
    <row r="15" spans="1:5" ht="105.75" thickBot="1" x14ac:dyDescent="0.3">
      <c r="A15" s="4">
        <f>_xlfn.XLOOKUP(E15,Orden_preguntas!$B:$B,Orden_preguntas!$A:$A)</f>
        <v>14</v>
      </c>
      <c r="B15" s="6" t="s">
        <v>404</v>
      </c>
      <c r="C15" s="8">
        <v>0.2</v>
      </c>
      <c r="D15" s="6" t="s">
        <v>454</v>
      </c>
      <c r="E15" s="17" t="s">
        <v>1018</v>
      </c>
    </row>
    <row r="16" spans="1:5" ht="150.75" thickBot="1" x14ac:dyDescent="0.3">
      <c r="A16" s="4">
        <f>_xlfn.XLOOKUP(E16,Orden_preguntas!$B:$B,Orden_preguntas!$A:$A)</f>
        <v>15</v>
      </c>
      <c r="B16" s="6" t="s">
        <v>411</v>
      </c>
      <c r="C16" s="8">
        <v>0.2</v>
      </c>
      <c r="D16" s="6" t="s">
        <v>461</v>
      </c>
      <c r="E16" s="17" t="s">
        <v>1025</v>
      </c>
    </row>
    <row r="17" spans="1:5" ht="105.75" thickBot="1" x14ac:dyDescent="0.3">
      <c r="A17" s="4">
        <f>_xlfn.XLOOKUP(E17,Orden_preguntas!$B:$B,Orden_preguntas!$A:$A)</f>
        <v>16</v>
      </c>
      <c r="B17" s="6" t="s">
        <v>405</v>
      </c>
      <c r="C17" s="8">
        <v>0.3</v>
      </c>
      <c r="D17" s="6" t="s">
        <v>455</v>
      </c>
      <c r="E17" s="17" t="s">
        <v>1019</v>
      </c>
    </row>
    <row r="18" spans="1:5" ht="75.75" thickBot="1" x14ac:dyDescent="0.3">
      <c r="A18" s="4">
        <f>_xlfn.XLOOKUP(E18,Orden_preguntas!$B:$B,Orden_preguntas!$A:$A)</f>
        <v>17</v>
      </c>
      <c r="B18" s="6" t="s">
        <v>412</v>
      </c>
      <c r="C18" s="8">
        <v>0.3</v>
      </c>
      <c r="D18" s="6" t="s">
        <v>462</v>
      </c>
      <c r="E18" s="17" t="s">
        <v>1026</v>
      </c>
    </row>
    <row r="19" spans="1:5" ht="75.75" thickBot="1" x14ac:dyDescent="0.3">
      <c r="A19" s="4">
        <f>_xlfn.XLOOKUP(E19,Orden_preguntas!$B:$B,Orden_preguntas!$A:$A)</f>
        <v>18</v>
      </c>
      <c r="B19" s="6" t="s">
        <v>417</v>
      </c>
      <c r="C19" s="8">
        <v>0.3</v>
      </c>
      <c r="D19" s="6" t="s">
        <v>467</v>
      </c>
      <c r="E19" s="17" t="s">
        <v>1031</v>
      </c>
    </row>
    <row r="20" spans="1:5" ht="135.75" thickBot="1" x14ac:dyDescent="0.3">
      <c r="A20" s="4">
        <f>_xlfn.XLOOKUP(E20,Orden_preguntas!$B:$B,Orden_preguntas!$A:$A)</f>
        <v>19</v>
      </c>
      <c r="B20" s="6" t="s">
        <v>415</v>
      </c>
      <c r="C20" s="8">
        <v>0.3</v>
      </c>
      <c r="D20" s="6" t="s">
        <v>465</v>
      </c>
      <c r="E20" s="17" t="s">
        <v>1029</v>
      </c>
    </row>
    <row r="21" spans="1:5" ht="135.75" thickBot="1" x14ac:dyDescent="0.3">
      <c r="A21" s="4">
        <f>_xlfn.XLOOKUP(E21,Orden_preguntas!$B:$B,Orden_preguntas!$A:$A)</f>
        <v>20</v>
      </c>
      <c r="B21" s="6" t="s">
        <v>407</v>
      </c>
      <c r="C21" s="8">
        <v>1</v>
      </c>
      <c r="D21" s="6" t="s">
        <v>457</v>
      </c>
      <c r="E21" s="17" t="s">
        <v>1021</v>
      </c>
    </row>
    <row r="22" spans="1:5" ht="120.75" thickBot="1" x14ac:dyDescent="0.3">
      <c r="A22" s="4">
        <f>_xlfn.XLOOKUP(E22,Orden_preguntas!$B:$B,Orden_preguntas!$A:$A)</f>
        <v>21</v>
      </c>
      <c r="B22" s="6" t="s">
        <v>424</v>
      </c>
      <c r="C22" s="8">
        <v>0.2</v>
      </c>
      <c r="D22" s="6" t="s">
        <v>474</v>
      </c>
      <c r="E22" s="17" t="s">
        <v>1038</v>
      </c>
    </row>
    <row r="23" spans="1:5" ht="150.75" thickBot="1" x14ac:dyDescent="0.3">
      <c r="A23" s="4">
        <f>_xlfn.XLOOKUP(E23,Orden_preguntas!$B:$B,Orden_preguntas!$A:$A)</f>
        <v>22</v>
      </c>
      <c r="B23" s="6" t="s">
        <v>434</v>
      </c>
      <c r="C23" s="8">
        <v>0.3</v>
      </c>
      <c r="D23" s="6" t="s">
        <v>484</v>
      </c>
      <c r="E23" s="17" t="s">
        <v>1048</v>
      </c>
    </row>
    <row r="24" spans="1:5" ht="120.75" thickBot="1" x14ac:dyDescent="0.3">
      <c r="A24" s="4">
        <f>_xlfn.XLOOKUP(E24,Orden_preguntas!$B:$B,Orden_preguntas!$A:$A)</f>
        <v>23</v>
      </c>
      <c r="B24" s="6" t="s">
        <v>442</v>
      </c>
      <c r="C24" s="8">
        <v>0.9</v>
      </c>
      <c r="D24" s="6" t="s">
        <v>492</v>
      </c>
      <c r="E24" s="17" t="s">
        <v>1056</v>
      </c>
    </row>
    <row r="25" spans="1:5" ht="135.75" thickBot="1" x14ac:dyDescent="0.3">
      <c r="A25" s="4">
        <f>_xlfn.XLOOKUP(E25,Orden_preguntas!$B:$B,Orden_preguntas!$A:$A)</f>
        <v>24</v>
      </c>
      <c r="B25" s="6" t="s">
        <v>423</v>
      </c>
      <c r="C25" s="8">
        <v>0.3</v>
      </c>
      <c r="D25" s="6" t="s">
        <v>473</v>
      </c>
      <c r="E25" s="17" t="s">
        <v>1037</v>
      </c>
    </row>
    <row r="26" spans="1:5" ht="120.75" thickBot="1" x14ac:dyDescent="0.3">
      <c r="A26" s="4">
        <f>_xlfn.XLOOKUP(E26,Orden_preguntas!$B:$B,Orden_preguntas!$A:$A)</f>
        <v>25</v>
      </c>
      <c r="B26" s="6" t="s">
        <v>425</v>
      </c>
      <c r="C26" s="8">
        <v>0.4</v>
      </c>
      <c r="D26" s="6" t="s">
        <v>475</v>
      </c>
      <c r="E26" s="17" t="s">
        <v>1039</v>
      </c>
    </row>
    <row r="27" spans="1:5" ht="135.75" thickBot="1" x14ac:dyDescent="0.3">
      <c r="A27" s="4">
        <f>_xlfn.XLOOKUP(E27,Orden_preguntas!$B:$B,Orden_preguntas!$A:$A)</f>
        <v>26</v>
      </c>
      <c r="B27" s="6" t="s">
        <v>427</v>
      </c>
      <c r="C27" s="8">
        <v>1</v>
      </c>
      <c r="D27" s="6" t="s">
        <v>477</v>
      </c>
      <c r="E27" s="17" t="s">
        <v>1041</v>
      </c>
    </row>
    <row r="28" spans="1:5" ht="105.75" thickBot="1" x14ac:dyDescent="0.3">
      <c r="A28" s="4">
        <f>_xlfn.XLOOKUP(E28,Orden_preguntas!$B:$B,Orden_preguntas!$A:$A)</f>
        <v>27</v>
      </c>
      <c r="B28" s="6" t="s">
        <v>426</v>
      </c>
      <c r="C28" s="8">
        <v>0.2</v>
      </c>
      <c r="D28" s="6" t="s">
        <v>476</v>
      </c>
      <c r="E28" s="17" t="s">
        <v>1040</v>
      </c>
    </row>
    <row r="29" spans="1:5" ht="105.75" thickBot="1" x14ac:dyDescent="0.3">
      <c r="A29" s="4">
        <f>_xlfn.XLOOKUP(E29,Orden_preguntas!$B:$B,Orden_preguntas!$A:$A)</f>
        <v>28</v>
      </c>
      <c r="B29" s="6" t="s">
        <v>428</v>
      </c>
      <c r="C29" s="8">
        <v>0.2</v>
      </c>
      <c r="D29" s="6" t="s">
        <v>478</v>
      </c>
      <c r="E29" s="17" t="s">
        <v>1042</v>
      </c>
    </row>
    <row r="30" spans="1:5" ht="135.75" thickBot="1" x14ac:dyDescent="0.3">
      <c r="A30" s="4">
        <f>_xlfn.XLOOKUP(E30,Orden_preguntas!$B:$B,Orden_preguntas!$A:$A)</f>
        <v>29</v>
      </c>
      <c r="B30" s="6" t="s">
        <v>429</v>
      </c>
      <c r="C30" s="8">
        <v>0.9</v>
      </c>
      <c r="D30" s="6" t="s">
        <v>479</v>
      </c>
      <c r="E30" s="17" t="s">
        <v>1043</v>
      </c>
    </row>
    <row r="31" spans="1:5" ht="150.75" thickBot="1" x14ac:dyDescent="0.3">
      <c r="A31" s="4">
        <f>_xlfn.XLOOKUP(E31,Orden_preguntas!$B:$B,Orden_preguntas!$A:$A)</f>
        <v>30</v>
      </c>
      <c r="B31" s="6" t="s">
        <v>431</v>
      </c>
      <c r="C31" s="8">
        <v>0.6</v>
      </c>
      <c r="D31" s="6" t="s">
        <v>481</v>
      </c>
      <c r="E31" s="17" t="s">
        <v>1045</v>
      </c>
    </row>
    <row r="32" spans="1:5" ht="150.75" thickBot="1" x14ac:dyDescent="0.3">
      <c r="A32" s="4">
        <f>_xlfn.XLOOKUP(E32,Orden_preguntas!$B:$B,Orden_preguntas!$A:$A)</f>
        <v>31</v>
      </c>
      <c r="B32" s="6" t="s">
        <v>437</v>
      </c>
      <c r="C32" s="8">
        <v>0.9</v>
      </c>
      <c r="D32" s="6" t="s">
        <v>487</v>
      </c>
      <c r="E32" s="17" t="s">
        <v>1051</v>
      </c>
    </row>
    <row r="33" spans="1:5" ht="180.75" thickBot="1" x14ac:dyDescent="0.3">
      <c r="A33" s="4">
        <f>_xlfn.XLOOKUP(E33,Orden_preguntas!$B:$B,Orden_preguntas!$A:$A)</f>
        <v>32</v>
      </c>
      <c r="B33" s="6" t="s">
        <v>433</v>
      </c>
      <c r="C33" s="8">
        <v>0.2</v>
      </c>
      <c r="D33" s="6" t="s">
        <v>483</v>
      </c>
      <c r="E33" s="17" t="s">
        <v>1047</v>
      </c>
    </row>
    <row r="34" spans="1:5" ht="165.75" thickBot="1" x14ac:dyDescent="0.3">
      <c r="A34" s="4">
        <f>_xlfn.XLOOKUP(E34,Orden_preguntas!$B:$B,Orden_preguntas!$A:$A)</f>
        <v>33</v>
      </c>
      <c r="B34" s="6" t="s">
        <v>439</v>
      </c>
      <c r="C34" s="8">
        <v>0.9</v>
      </c>
      <c r="D34" s="6" t="s">
        <v>489</v>
      </c>
      <c r="E34" s="17" t="s">
        <v>1053</v>
      </c>
    </row>
    <row r="35" spans="1:5" ht="120.75" thickBot="1" x14ac:dyDescent="0.3">
      <c r="A35" s="4">
        <f>_xlfn.XLOOKUP(E35,Orden_preguntas!$B:$B,Orden_preguntas!$A:$A)</f>
        <v>34</v>
      </c>
      <c r="B35" s="6" t="s">
        <v>443</v>
      </c>
      <c r="C35" s="8">
        <v>0.4</v>
      </c>
      <c r="D35" s="6" t="s">
        <v>493</v>
      </c>
      <c r="E35" s="17" t="s">
        <v>1057</v>
      </c>
    </row>
    <row r="36" spans="1:5" ht="165.75" thickBot="1" x14ac:dyDescent="0.3">
      <c r="A36" s="4">
        <f>_xlfn.XLOOKUP(E36,Orden_preguntas!$B:$B,Orden_preguntas!$A:$A)</f>
        <v>35</v>
      </c>
      <c r="B36" s="6" t="s">
        <v>432</v>
      </c>
      <c r="C36" s="8">
        <v>0.9</v>
      </c>
      <c r="D36" s="6" t="s">
        <v>482</v>
      </c>
      <c r="E36" s="17" t="s">
        <v>1046</v>
      </c>
    </row>
    <row r="37" spans="1:5" ht="135.75" thickBot="1" x14ac:dyDescent="0.3">
      <c r="A37" s="4">
        <f>_xlfn.XLOOKUP(E37,Orden_preguntas!$B:$B,Orden_preguntas!$A:$A)</f>
        <v>36</v>
      </c>
      <c r="B37" s="6" t="s">
        <v>435</v>
      </c>
      <c r="C37" s="8">
        <v>0.3</v>
      </c>
      <c r="D37" s="6" t="s">
        <v>485</v>
      </c>
      <c r="E37" s="17" t="s">
        <v>1049</v>
      </c>
    </row>
    <row r="38" spans="1:5" ht="135.75" thickBot="1" x14ac:dyDescent="0.3">
      <c r="A38" s="4">
        <f>_xlfn.XLOOKUP(E38,Orden_preguntas!$B:$B,Orden_preguntas!$A:$A)</f>
        <v>37</v>
      </c>
      <c r="B38" s="6" t="s">
        <v>438</v>
      </c>
      <c r="C38" s="8">
        <v>0.4</v>
      </c>
      <c r="D38" s="6" t="s">
        <v>488</v>
      </c>
      <c r="E38" s="17" t="s">
        <v>1052</v>
      </c>
    </row>
    <row r="39" spans="1:5" ht="105.75" thickBot="1" x14ac:dyDescent="0.3">
      <c r="A39" s="4">
        <f>_xlfn.XLOOKUP(E39,Orden_preguntas!$B:$B,Orden_preguntas!$A:$A)</f>
        <v>38</v>
      </c>
      <c r="B39" s="6" t="s">
        <v>430</v>
      </c>
      <c r="C39" s="8">
        <v>0.9</v>
      </c>
      <c r="D39" s="6" t="s">
        <v>480</v>
      </c>
      <c r="E39" s="17" t="s">
        <v>1044</v>
      </c>
    </row>
    <row r="40" spans="1:5" ht="165.75" thickBot="1" x14ac:dyDescent="0.3">
      <c r="A40" s="4">
        <f>_xlfn.XLOOKUP(E40,Orden_preguntas!$B:$B,Orden_preguntas!$A:$A)</f>
        <v>39</v>
      </c>
      <c r="B40" s="6" t="s">
        <v>441</v>
      </c>
      <c r="C40" s="8">
        <v>0.6</v>
      </c>
      <c r="D40" s="6" t="s">
        <v>491</v>
      </c>
      <c r="E40" s="17" t="s">
        <v>1055</v>
      </c>
    </row>
    <row r="41" spans="1:5" ht="165.75" thickBot="1" x14ac:dyDescent="0.3">
      <c r="A41" s="4">
        <f>_xlfn.XLOOKUP(E41,Orden_preguntas!$B:$B,Orden_preguntas!$A:$A)</f>
        <v>40</v>
      </c>
      <c r="B41" s="6" t="s">
        <v>436</v>
      </c>
      <c r="C41" s="8">
        <v>0.2</v>
      </c>
      <c r="D41" s="6" t="s">
        <v>486</v>
      </c>
      <c r="E41" s="17" t="s">
        <v>1050</v>
      </c>
    </row>
    <row r="42" spans="1:5" ht="225.75" thickBot="1" x14ac:dyDescent="0.3">
      <c r="A42" s="4">
        <f>_xlfn.XLOOKUP(E42,Orden_preguntas!$B:$B,Orden_preguntas!$A:$A)</f>
        <v>41</v>
      </c>
      <c r="B42" s="6" t="s">
        <v>440</v>
      </c>
      <c r="C42" s="8">
        <v>0.9</v>
      </c>
      <c r="D42" s="6" t="s">
        <v>490</v>
      </c>
      <c r="E42" s="17" t="s">
        <v>1054</v>
      </c>
    </row>
    <row r="43" spans="1:5" ht="165.75" thickBot="1" x14ac:dyDescent="0.3">
      <c r="A43" s="4">
        <f>_xlfn.XLOOKUP(E43,Orden_preguntas!$B:$B,Orden_preguntas!$A:$A)</f>
        <v>42</v>
      </c>
      <c r="B43" s="6" t="s">
        <v>451</v>
      </c>
      <c r="C43" s="8">
        <v>0.4</v>
      </c>
      <c r="D43" s="6" t="s">
        <v>501</v>
      </c>
      <c r="E43" s="17" t="s">
        <v>1065</v>
      </c>
    </row>
    <row r="44" spans="1:5" ht="165.75" thickBot="1" x14ac:dyDescent="0.3">
      <c r="A44" s="4">
        <f>_xlfn.XLOOKUP(E44,Orden_preguntas!$B:$B,Orden_preguntas!$A:$A)</f>
        <v>43</v>
      </c>
      <c r="B44" s="6" t="s">
        <v>445</v>
      </c>
      <c r="C44" s="8">
        <v>0.9</v>
      </c>
      <c r="D44" s="6" t="s">
        <v>495</v>
      </c>
      <c r="E44" s="17" t="s">
        <v>1059</v>
      </c>
    </row>
    <row r="45" spans="1:5" ht="135.75" thickBot="1" x14ac:dyDescent="0.3">
      <c r="A45" s="4">
        <f>_xlfn.XLOOKUP(E45,Orden_preguntas!$B:$B,Orden_preguntas!$A:$A)</f>
        <v>44</v>
      </c>
      <c r="B45" s="6" t="s">
        <v>444</v>
      </c>
      <c r="C45" s="8">
        <v>1</v>
      </c>
      <c r="D45" s="6" t="s">
        <v>494</v>
      </c>
      <c r="E45" s="17" t="s">
        <v>1058</v>
      </c>
    </row>
    <row r="46" spans="1:5" ht="150.75" thickBot="1" x14ac:dyDescent="0.3">
      <c r="A46" s="4">
        <f>_xlfn.XLOOKUP(E46,Orden_preguntas!$B:$B,Orden_preguntas!$A:$A)</f>
        <v>45</v>
      </c>
      <c r="B46" s="6" t="s">
        <v>447</v>
      </c>
      <c r="C46" s="8">
        <v>0.9</v>
      </c>
      <c r="D46" s="6" t="s">
        <v>497</v>
      </c>
      <c r="E46" s="17" t="s">
        <v>1061</v>
      </c>
    </row>
    <row r="47" spans="1:5" ht="105.75" thickBot="1" x14ac:dyDescent="0.3">
      <c r="A47" s="4">
        <f>_xlfn.XLOOKUP(E47,Orden_preguntas!$B:$B,Orden_preguntas!$A:$A)</f>
        <v>46</v>
      </c>
      <c r="B47" s="6" t="s">
        <v>446</v>
      </c>
      <c r="C47" s="8">
        <v>0.2</v>
      </c>
      <c r="D47" s="6" t="s">
        <v>496</v>
      </c>
      <c r="E47" s="17" t="s">
        <v>1060</v>
      </c>
    </row>
    <row r="48" spans="1:5" ht="135.75" thickBot="1" x14ac:dyDescent="0.3">
      <c r="A48" s="4">
        <f>_xlfn.XLOOKUP(E48,Orden_preguntas!$B:$B,Orden_preguntas!$A:$A)</f>
        <v>47</v>
      </c>
      <c r="B48" s="6" t="s">
        <v>448</v>
      </c>
      <c r="C48" s="8">
        <v>0.9</v>
      </c>
      <c r="D48" s="6" t="s">
        <v>498</v>
      </c>
      <c r="E48" s="17" t="s">
        <v>1062</v>
      </c>
    </row>
    <row r="49" spans="1:5" ht="165.75" thickBot="1" x14ac:dyDescent="0.3">
      <c r="A49" s="4">
        <f>_xlfn.XLOOKUP(E49,Orden_preguntas!$B:$B,Orden_preguntas!$A:$A)</f>
        <v>48</v>
      </c>
      <c r="B49" s="6" t="s">
        <v>452</v>
      </c>
      <c r="C49" s="8">
        <v>0.4</v>
      </c>
      <c r="D49" s="6" t="s">
        <v>502</v>
      </c>
      <c r="E49" s="17" t="s">
        <v>1066</v>
      </c>
    </row>
    <row r="50" spans="1:5" ht="195.75" thickBot="1" x14ac:dyDescent="0.3">
      <c r="A50" s="4">
        <f>_xlfn.XLOOKUP(E50,Orden_preguntas!$B:$B,Orden_preguntas!$A:$A)</f>
        <v>49</v>
      </c>
      <c r="B50" s="6" t="s">
        <v>449</v>
      </c>
      <c r="C50" s="8">
        <v>1</v>
      </c>
      <c r="D50" s="6" t="s">
        <v>499</v>
      </c>
      <c r="E50" s="17" t="s">
        <v>1063</v>
      </c>
    </row>
    <row r="51" spans="1:5" ht="210.75" thickBot="1" x14ac:dyDescent="0.3">
      <c r="A51" s="4">
        <f>_xlfn.XLOOKUP(E51,Orden_preguntas!$B:$B,Orden_preguntas!$A:$A)</f>
        <v>50</v>
      </c>
      <c r="B51" s="6" t="s">
        <v>450</v>
      </c>
      <c r="C51" s="8">
        <v>0.6</v>
      </c>
      <c r="D51" s="6" t="s">
        <v>500</v>
      </c>
      <c r="E51" s="17" t="s">
        <v>1064</v>
      </c>
    </row>
    <row r="52" spans="1:5" ht="15.75" thickBot="1" x14ac:dyDescent="0.3">
      <c r="E52" s="17"/>
    </row>
    <row r="53" spans="1:5" ht="15.75" thickBot="1" x14ac:dyDescent="0.3">
      <c r="E53" s="17"/>
    </row>
    <row r="54" spans="1:5" ht="15.75" thickBot="1" x14ac:dyDescent="0.3">
      <c r="E54" s="17"/>
    </row>
    <row r="55" spans="1:5" ht="15.75" thickBot="1" x14ac:dyDescent="0.3">
      <c r="E55" s="17"/>
    </row>
    <row r="56" spans="1:5" ht="15.75" thickBot="1" x14ac:dyDescent="0.3">
      <c r="E56" s="17"/>
    </row>
    <row r="57" spans="1:5" ht="15.75" thickBot="1" x14ac:dyDescent="0.3">
      <c r="E57" s="17"/>
    </row>
    <row r="58" spans="1:5" ht="15.75" thickBot="1" x14ac:dyDescent="0.3">
      <c r="E58" s="17"/>
    </row>
    <row r="59" spans="1:5" ht="15.75" thickBot="1" x14ac:dyDescent="0.3">
      <c r="E59" s="17"/>
    </row>
    <row r="60" spans="1:5" ht="15.75" thickBot="1" x14ac:dyDescent="0.3">
      <c r="E60" s="17"/>
    </row>
    <row r="61" spans="1:5" ht="15.75" thickBot="1" x14ac:dyDescent="0.3">
      <c r="E61" s="17"/>
    </row>
    <row r="62" spans="1:5" ht="15.75" thickBot="1" x14ac:dyDescent="0.3">
      <c r="E62" s="17"/>
    </row>
    <row r="63" spans="1:5" ht="15.75" thickBot="1" x14ac:dyDescent="0.3">
      <c r="E63" s="17"/>
    </row>
    <row r="64" spans="1:5" ht="15.75" thickBot="1" x14ac:dyDescent="0.3">
      <c r="E64" s="17"/>
    </row>
    <row r="65" spans="5:5" ht="15.75" thickBot="1" x14ac:dyDescent="0.3">
      <c r="E65" s="17"/>
    </row>
    <row r="66" spans="5:5" ht="15.75" thickBot="1" x14ac:dyDescent="0.3">
      <c r="E66" s="17"/>
    </row>
    <row r="67" spans="5:5" ht="15.75" thickBot="1" x14ac:dyDescent="0.3">
      <c r="E67" s="17"/>
    </row>
    <row r="68" spans="5:5" ht="15.75" thickBot="1" x14ac:dyDescent="0.3">
      <c r="E68" s="17"/>
    </row>
    <row r="69" spans="5:5" ht="15.75" thickBot="1" x14ac:dyDescent="0.3">
      <c r="E69" s="17"/>
    </row>
    <row r="70" spans="5:5" ht="15.75" thickBot="1" x14ac:dyDescent="0.3">
      <c r="E70" s="17"/>
    </row>
    <row r="71" spans="5:5" ht="15.75" thickBot="1" x14ac:dyDescent="0.3">
      <c r="E71" s="17"/>
    </row>
    <row r="72" spans="5:5" ht="15.75" thickBot="1" x14ac:dyDescent="0.3">
      <c r="E72" s="17"/>
    </row>
    <row r="73" spans="5:5" ht="15.75" thickBot="1" x14ac:dyDescent="0.3">
      <c r="E73" s="17"/>
    </row>
    <row r="74" spans="5:5" ht="15.75" thickBot="1" x14ac:dyDescent="0.3">
      <c r="E74" s="17"/>
    </row>
    <row r="75" spans="5:5" ht="15.75" thickBot="1" x14ac:dyDescent="0.3">
      <c r="E75" s="17"/>
    </row>
    <row r="76" spans="5:5" ht="15.75" thickBot="1" x14ac:dyDescent="0.3">
      <c r="E76" s="17"/>
    </row>
    <row r="77" spans="5:5" ht="15.75" thickBot="1" x14ac:dyDescent="0.3">
      <c r="E77" s="17"/>
    </row>
    <row r="78" spans="5:5" ht="15.75" thickBot="1" x14ac:dyDescent="0.3">
      <c r="E78" s="17"/>
    </row>
    <row r="79" spans="5:5" ht="15.75" thickBot="1" x14ac:dyDescent="0.3">
      <c r="E79" s="17"/>
    </row>
    <row r="80" spans="5:5" ht="15.75" thickBot="1" x14ac:dyDescent="0.3">
      <c r="E80" s="17"/>
    </row>
    <row r="81" spans="5:5" ht="15.75" thickBot="1" x14ac:dyDescent="0.3">
      <c r="E81" s="17"/>
    </row>
    <row r="82" spans="5:5" ht="15.75" thickBot="1" x14ac:dyDescent="0.3">
      <c r="E82" s="17"/>
    </row>
    <row r="83" spans="5:5" ht="15.75" thickBot="1" x14ac:dyDescent="0.3">
      <c r="E83" s="17"/>
    </row>
    <row r="84" spans="5:5" ht="15.75" thickBot="1" x14ac:dyDescent="0.3">
      <c r="E84" s="17"/>
    </row>
    <row r="85" spans="5:5" ht="15.75" thickBot="1" x14ac:dyDescent="0.3">
      <c r="E85" s="17"/>
    </row>
    <row r="86" spans="5:5" ht="15.75" thickBot="1" x14ac:dyDescent="0.3">
      <c r="E86" s="17"/>
    </row>
    <row r="87" spans="5:5" ht="15.75" thickBot="1" x14ac:dyDescent="0.3">
      <c r="E87" s="17"/>
    </row>
    <row r="88" spans="5:5" ht="15.75" thickBot="1" x14ac:dyDescent="0.3">
      <c r="E88" s="17"/>
    </row>
    <row r="89" spans="5:5" ht="15.75" thickBot="1" x14ac:dyDescent="0.3">
      <c r="E89" s="17"/>
    </row>
    <row r="90" spans="5:5" ht="15.75" thickBot="1" x14ac:dyDescent="0.3">
      <c r="E90" s="17"/>
    </row>
    <row r="91" spans="5:5" ht="15.75" thickBot="1" x14ac:dyDescent="0.3">
      <c r="E91" s="17"/>
    </row>
    <row r="92" spans="5:5" ht="15.75" thickBot="1" x14ac:dyDescent="0.3">
      <c r="E92" s="17"/>
    </row>
    <row r="93" spans="5:5" ht="15.75" thickBot="1" x14ac:dyDescent="0.3">
      <c r="E93" s="17"/>
    </row>
    <row r="94" spans="5:5" ht="15.75" thickBot="1" x14ac:dyDescent="0.3">
      <c r="E94" s="17"/>
    </row>
    <row r="95" spans="5:5" ht="15.75" thickBot="1" x14ac:dyDescent="0.3">
      <c r="E95" s="17"/>
    </row>
    <row r="96" spans="5:5" ht="15.75" thickBot="1" x14ac:dyDescent="0.3">
      <c r="E96" s="17"/>
    </row>
    <row r="97" spans="5:5" ht="15.75" thickBot="1" x14ac:dyDescent="0.3">
      <c r="E97" s="17"/>
    </row>
    <row r="98" spans="5:5" ht="15.75" thickBot="1" x14ac:dyDescent="0.3">
      <c r="E98" s="17"/>
    </row>
    <row r="99" spans="5:5" ht="15.75" thickBot="1" x14ac:dyDescent="0.3">
      <c r="E99" s="17"/>
    </row>
    <row r="100" spans="5:5" ht="15.75" thickBot="1" x14ac:dyDescent="0.3">
      <c r="E100" s="17"/>
    </row>
    <row r="101" spans="5:5" ht="15.75" thickBot="1" x14ac:dyDescent="0.3">
      <c r="E101" s="17"/>
    </row>
    <row r="102" spans="5:5" ht="15.75" thickBot="1" x14ac:dyDescent="0.3">
      <c r="E102" s="17"/>
    </row>
    <row r="103" spans="5:5" ht="15.75" thickBot="1" x14ac:dyDescent="0.3">
      <c r="E103" s="17"/>
    </row>
    <row r="104" spans="5:5" ht="15.75" thickBot="1" x14ac:dyDescent="0.3">
      <c r="E104" s="17"/>
    </row>
    <row r="105" spans="5:5" ht="15.75" thickBot="1" x14ac:dyDescent="0.3">
      <c r="E105" s="17"/>
    </row>
    <row r="106" spans="5:5" ht="15.75" thickBot="1" x14ac:dyDescent="0.3">
      <c r="E106" s="17"/>
    </row>
    <row r="107" spans="5:5" ht="15.75" thickBot="1" x14ac:dyDescent="0.3">
      <c r="E107" s="17"/>
    </row>
    <row r="108" spans="5:5" ht="15.75" thickBot="1" x14ac:dyDescent="0.3">
      <c r="E108" s="17"/>
    </row>
    <row r="109" spans="5:5" ht="15.75" thickBot="1" x14ac:dyDescent="0.3">
      <c r="E109" s="17"/>
    </row>
    <row r="110" spans="5:5" ht="15.75" thickBot="1" x14ac:dyDescent="0.3">
      <c r="E110" s="17"/>
    </row>
    <row r="111" spans="5:5" ht="15.75" thickBot="1" x14ac:dyDescent="0.3">
      <c r="E111" s="17"/>
    </row>
    <row r="112" spans="5:5" ht="15.75" thickBot="1" x14ac:dyDescent="0.3">
      <c r="E112" s="17"/>
    </row>
    <row r="113" spans="5:5" ht="15.75" thickBot="1" x14ac:dyDescent="0.3">
      <c r="E113" s="17"/>
    </row>
    <row r="114" spans="5:5" ht="15.75" thickBot="1" x14ac:dyDescent="0.3">
      <c r="E114" s="17"/>
    </row>
    <row r="115" spans="5:5" ht="15.75" thickBot="1" x14ac:dyDescent="0.3">
      <c r="E115" s="17"/>
    </row>
    <row r="116" spans="5:5" ht="15.75" thickBot="1" x14ac:dyDescent="0.3">
      <c r="E116" s="17"/>
    </row>
    <row r="117" spans="5:5" ht="15.75" thickBot="1" x14ac:dyDescent="0.3">
      <c r="E117" s="17"/>
    </row>
    <row r="118" spans="5:5" ht="15.75" thickBot="1" x14ac:dyDescent="0.3">
      <c r="E118" s="17"/>
    </row>
    <row r="119" spans="5:5" ht="15.75" thickBot="1" x14ac:dyDescent="0.3">
      <c r="E119" s="17"/>
    </row>
    <row r="120" spans="5:5" ht="15.75" thickBot="1" x14ac:dyDescent="0.3">
      <c r="E120" s="17"/>
    </row>
    <row r="121" spans="5:5" ht="15.75" thickBot="1" x14ac:dyDescent="0.3">
      <c r="E121" s="17"/>
    </row>
    <row r="122" spans="5:5" ht="15.75" thickBot="1" x14ac:dyDescent="0.3">
      <c r="E122" s="17"/>
    </row>
    <row r="123" spans="5:5" ht="15.75" thickBot="1" x14ac:dyDescent="0.3">
      <c r="E123" s="17"/>
    </row>
    <row r="124" spans="5:5" ht="15.75" thickBot="1" x14ac:dyDescent="0.3">
      <c r="E124" s="17"/>
    </row>
    <row r="125" spans="5:5" ht="15.75" thickBot="1" x14ac:dyDescent="0.3">
      <c r="E125" s="17"/>
    </row>
    <row r="126" spans="5:5" ht="15.75" thickBot="1" x14ac:dyDescent="0.3">
      <c r="E126" s="17"/>
    </row>
    <row r="127" spans="5:5" ht="15.75" thickBot="1" x14ac:dyDescent="0.3">
      <c r="E127" s="17"/>
    </row>
    <row r="128" spans="5:5" ht="15.75" thickBot="1" x14ac:dyDescent="0.3">
      <c r="E128" s="17"/>
    </row>
    <row r="129" spans="5:5" ht="15.75" thickBot="1" x14ac:dyDescent="0.3">
      <c r="E129" s="17"/>
    </row>
    <row r="130" spans="5:5" ht="15.75" thickBot="1" x14ac:dyDescent="0.3">
      <c r="E130" s="17"/>
    </row>
    <row r="131" spans="5:5" ht="15.75" thickBot="1" x14ac:dyDescent="0.3">
      <c r="E131" s="17"/>
    </row>
    <row r="132" spans="5:5" ht="15.75" thickBot="1" x14ac:dyDescent="0.3">
      <c r="E132" s="17"/>
    </row>
    <row r="133" spans="5:5" ht="15.75" thickBot="1" x14ac:dyDescent="0.3">
      <c r="E133" s="17"/>
    </row>
    <row r="134" spans="5:5" ht="15.75" thickBot="1" x14ac:dyDescent="0.3">
      <c r="E134" s="17"/>
    </row>
    <row r="135" spans="5:5" ht="15.75" thickBot="1" x14ac:dyDescent="0.3">
      <c r="E135" s="17"/>
    </row>
    <row r="136" spans="5:5" ht="15.75" thickBot="1" x14ac:dyDescent="0.3">
      <c r="E136" s="17"/>
    </row>
    <row r="137" spans="5:5" ht="15.75" thickBot="1" x14ac:dyDescent="0.3">
      <c r="E137" s="17"/>
    </row>
    <row r="138" spans="5:5" ht="15.75" thickBot="1" x14ac:dyDescent="0.3">
      <c r="E138" s="17"/>
    </row>
    <row r="139" spans="5:5" ht="15.75" thickBot="1" x14ac:dyDescent="0.3">
      <c r="E139" s="17"/>
    </row>
    <row r="140" spans="5:5" ht="15.75" thickBot="1" x14ac:dyDescent="0.3">
      <c r="E140" s="17"/>
    </row>
    <row r="141" spans="5:5" ht="15.75" thickBot="1" x14ac:dyDescent="0.3">
      <c r="E141" s="17"/>
    </row>
    <row r="142" spans="5:5" ht="15.75" thickBot="1" x14ac:dyDescent="0.3">
      <c r="E142" s="17"/>
    </row>
    <row r="143" spans="5:5" ht="15.75" thickBot="1" x14ac:dyDescent="0.3">
      <c r="E143" s="17"/>
    </row>
    <row r="144" spans="5:5" ht="15.75" thickBot="1" x14ac:dyDescent="0.3">
      <c r="E144" s="17"/>
    </row>
    <row r="145" spans="5:5" ht="15.75" thickBot="1" x14ac:dyDescent="0.3">
      <c r="E145" s="17"/>
    </row>
    <row r="146" spans="5:5" ht="15.75" thickBot="1" x14ac:dyDescent="0.3">
      <c r="E146" s="17"/>
    </row>
    <row r="147" spans="5:5" ht="15.75" thickBot="1" x14ac:dyDescent="0.3">
      <c r="E147" s="17"/>
    </row>
    <row r="148" spans="5:5" ht="15.75" thickBot="1" x14ac:dyDescent="0.3">
      <c r="E148" s="17"/>
    </row>
    <row r="149" spans="5:5" ht="15.75" thickBot="1" x14ac:dyDescent="0.3">
      <c r="E149" s="17"/>
    </row>
    <row r="150" spans="5:5" ht="15.75" thickBot="1" x14ac:dyDescent="0.3">
      <c r="E150" s="17"/>
    </row>
    <row r="151" spans="5:5" ht="15.75" thickBot="1" x14ac:dyDescent="0.3">
      <c r="E151" s="17"/>
    </row>
    <row r="152" spans="5:5" ht="15.75" thickBot="1" x14ac:dyDescent="0.3">
      <c r="E152" s="17"/>
    </row>
    <row r="153" spans="5:5" ht="15.75" thickBot="1" x14ac:dyDescent="0.3">
      <c r="E153" s="17"/>
    </row>
    <row r="154" spans="5:5" ht="15.75" thickBot="1" x14ac:dyDescent="0.3">
      <c r="E154" s="17"/>
    </row>
    <row r="155" spans="5:5" ht="15.75" thickBot="1" x14ac:dyDescent="0.3">
      <c r="E155" s="17"/>
    </row>
    <row r="156" spans="5:5" ht="15.75" thickBot="1" x14ac:dyDescent="0.3">
      <c r="E156" s="17"/>
    </row>
    <row r="157" spans="5:5" ht="15.75" thickBot="1" x14ac:dyDescent="0.3">
      <c r="E157" s="17"/>
    </row>
    <row r="158" spans="5:5" ht="15.75" thickBot="1" x14ac:dyDescent="0.3">
      <c r="E158" s="17"/>
    </row>
    <row r="159" spans="5:5" ht="15.75" thickBot="1" x14ac:dyDescent="0.3">
      <c r="E159" s="17"/>
    </row>
    <row r="160" spans="5:5" ht="15.75" thickBot="1" x14ac:dyDescent="0.3">
      <c r="E160" s="17"/>
    </row>
    <row r="161" spans="5:5" ht="15.75" thickBot="1" x14ac:dyDescent="0.3">
      <c r="E161" s="17"/>
    </row>
    <row r="162" spans="5:5" ht="15.75" thickBot="1" x14ac:dyDescent="0.3">
      <c r="E162" s="17"/>
    </row>
    <row r="163" spans="5:5" ht="15.75" thickBot="1" x14ac:dyDescent="0.3">
      <c r="E163" s="17"/>
    </row>
    <row r="164" spans="5:5" ht="15.75" thickBot="1" x14ac:dyDescent="0.3">
      <c r="E164" s="17"/>
    </row>
    <row r="165" spans="5:5" ht="15.75" thickBot="1" x14ac:dyDescent="0.3">
      <c r="E165" s="17"/>
    </row>
    <row r="166" spans="5:5" ht="15.75" thickBot="1" x14ac:dyDescent="0.3">
      <c r="E166" s="17"/>
    </row>
    <row r="167" spans="5:5" ht="15.75" thickBot="1" x14ac:dyDescent="0.3">
      <c r="E167" s="17"/>
    </row>
    <row r="168" spans="5:5" ht="15.75" thickBot="1" x14ac:dyDescent="0.3">
      <c r="E168" s="17"/>
    </row>
    <row r="169" spans="5:5" ht="15.75" thickBot="1" x14ac:dyDescent="0.3">
      <c r="E169" s="17"/>
    </row>
    <row r="170" spans="5:5" ht="15.75" thickBot="1" x14ac:dyDescent="0.3">
      <c r="E170" s="17"/>
    </row>
    <row r="171" spans="5:5" ht="15.75" thickBot="1" x14ac:dyDescent="0.3">
      <c r="E171" s="17"/>
    </row>
    <row r="172" spans="5:5" ht="15.75" thickBot="1" x14ac:dyDescent="0.3">
      <c r="E172" s="17"/>
    </row>
    <row r="173" spans="5:5" ht="15.75" thickBot="1" x14ac:dyDescent="0.3">
      <c r="E173" s="17"/>
    </row>
    <row r="174" spans="5:5" ht="15.75" thickBot="1" x14ac:dyDescent="0.3">
      <c r="E174" s="17"/>
    </row>
    <row r="175" spans="5:5" ht="15.75" thickBot="1" x14ac:dyDescent="0.3">
      <c r="E175" s="17"/>
    </row>
    <row r="176" spans="5:5" ht="15.75" thickBot="1" x14ac:dyDescent="0.3">
      <c r="E176" s="17"/>
    </row>
    <row r="177" spans="5:5" ht="15.75" thickBot="1" x14ac:dyDescent="0.3">
      <c r="E177" s="17"/>
    </row>
    <row r="178" spans="5:5" ht="15.75" thickBot="1" x14ac:dyDescent="0.3">
      <c r="E178" s="17"/>
    </row>
    <row r="179" spans="5:5" ht="15.75" thickBot="1" x14ac:dyDescent="0.3">
      <c r="E179" s="17"/>
    </row>
    <row r="180" spans="5:5" ht="15.75" thickBot="1" x14ac:dyDescent="0.3">
      <c r="E180" s="17"/>
    </row>
    <row r="181" spans="5:5" ht="15.75" thickBot="1" x14ac:dyDescent="0.3">
      <c r="E181" s="17"/>
    </row>
    <row r="182" spans="5:5" ht="15.75" thickBot="1" x14ac:dyDescent="0.3">
      <c r="E182" s="17"/>
    </row>
    <row r="183" spans="5:5" ht="15.75" thickBot="1" x14ac:dyDescent="0.3">
      <c r="E183" s="17"/>
    </row>
    <row r="184" spans="5:5" ht="15.75" thickBot="1" x14ac:dyDescent="0.3">
      <c r="E184" s="17"/>
    </row>
    <row r="185" spans="5:5" ht="15.75" thickBot="1" x14ac:dyDescent="0.3">
      <c r="E185" s="17"/>
    </row>
    <row r="186" spans="5:5" ht="15.75" thickBot="1" x14ac:dyDescent="0.3">
      <c r="E186" s="17"/>
    </row>
    <row r="187" spans="5:5" ht="15.75" thickBot="1" x14ac:dyDescent="0.3">
      <c r="E187" s="17"/>
    </row>
    <row r="188" spans="5:5" ht="15.75" thickBot="1" x14ac:dyDescent="0.3">
      <c r="E188" s="17"/>
    </row>
    <row r="189" spans="5:5" ht="15.75" thickBot="1" x14ac:dyDescent="0.3">
      <c r="E189" s="17"/>
    </row>
    <row r="190" spans="5:5" ht="15.75" thickBot="1" x14ac:dyDescent="0.3">
      <c r="E190" s="17"/>
    </row>
    <row r="191" spans="5:5" ht="15.75" thickBot="1" x14ac:dyDescent="0.3">
      <c r="E191" s="17"/>
    </row>
    <row r="192" spans="5:5" ht="15.75" thickBot="1" x14ac:dyDescent="0.3">
      <c r="E192" s="17"/>
    </row>
    <row r="193" spans="5:5" ht="15.75" thickBot="1" x14ac:dyDescent="0.3">
      <c r="E193" s="17"/>
    </row>
    <row r="194" spans="5:5" ht="15.75" thickBot="1" x14ac:dyDescent="0.3">
      <c r="E194" s="17"/>
    </row>
    <row r="195" spans="5:5" ht="15.75" thickBot="1" x14ac:dyDescent="0.3">
      <c r="E195" s="17"/>
    </row>
    <row r="196" spans="5:5" ht="15.75" thickBot="1" x14ac:dyDescent="0.3">
      <c r="E196" s="17"/>
    </row>
    <row r="197" spans="5:5" ht="15.75" thickBot="1" x14ac:dyDescent="0.3">
      <c r="E197" s="17"/>
    </row>
    <row r="198" spans="5:5" ht="15.75" thickBot="1" x14ac:dyDescent="0.3">
      <c r="E198" s="17"/>
    </row>
    <row r="199" spans="5:5" ht="15.75" thickBot="1" x14ac:dyDescent="0.3">
      <c r="E199" s="17"/>
    </row>
    <row r="200" spans="5:5" ht="15.75" thickBot="1" x14ac:dyDescent="0.3">
      <c r="E200" s="17"/>
    </row>
    <row r="201" spans="5:5" ht="15.75" thickBot="1" x14ac:dyDescent="0.3">
      <c r="E201" s="17"/>
    </row>
    <row r="202" spans="5:5" ht="15.75" thickBot="1" x14ac:dyDescent="0.3">
      <c r="E202" s="17"/>
    </row>
    <row r="203" spans="5:5" ht="15.75" thickBot="1" x14ac:dyDescent="0.3">
      <c r="E203" s="17"/>
    </row>
    <row r="204" spans="5:5" ht="15.75" thickBot="1" x14ac:dyDescent="0.3">
      <c r="E204" s="17"/>
    </row>
    <row r="205" spans="5:5" ht="15.75" thickBot="1" x14ac:dyDescent="0.3">
      <c r="E205" s="17"/>
    </row>
    <row r="206" spans="5:5" ht="15.75" thickBot="1" x14ac:dyDescent="0.3">
      <c r="E206" s="17"/>
    </row>
    <row r="207" spans="5:5" ht="15.75" thickBot="1" x14ac:dyDescent="0.3">
      <c r="E207" s="17"/>
    </row>
    <row r="208" spans="5:5" ht="15.75" thickBot="1" x14ac:dyDescent="0.3">
      <c r="E208" s="17"/>
    </row>
    <row r="209" spans="5:5" ht="15.75" thickBot="1" x14ac:dyDescent="0.3">
      <c r="E209" s="17"/>
    </row>
    <row r="210" spans="5:5" ht="15.75" thickBot="1" x14ac:dyDescent="0.3">
      <c r="E210" s="17"/>
    </row>
    <row r="211" spans="5:5" ht="15.75" thickBot="1" x14ac:dyDescent="0.3">
      <c r="E211" s="17"/>
    </row>
    <row r="212" spans="5:5" ht="15.75" thickBot="1" x14ac:dyDescent="0.3">
      <c r="E212" s="17"/>
    </row>
    <row r="213" spans="5:5" ht="15.75" thickBot="1" x14ac:dyDescent="0.3">
      <c r="E213" s="17"/>
    </row>
    <row r="214" spans="5:5" ht="15.75" thickBot="1" x14ac:dyDescent="0.3">
      <c r="E214" s="17"/>
    </row>
    <row r="215" spans="5:5" ht="15.75" thickBot="1" x14ac:dyDescent="0.3">
      <c r="E215" s="17"/>
    </row>
    <row r="216" spans="5:5" ht="15.75" thickBot="1" x14ac:dyDescent="0.3">
      <c r="E216" s="17"/>
    </row>
    <row r="217" spans="5:5" ht="15.75" thickBot="1" x14ac:dyDescent="0.3">
      <c r="E217" s="17"/>
    </row>
    <row r="218" spans="5:5" ht="15.75" thickBot="1" x14ac:dyDescent="0.3">
      <c r="E218" s="17"/>
    </row>
    <row r="219" spans="5:5" ht="15.75" thickBot="1" x14ac:dyDescent="0.3">
      <c r="E219" s="17"/>
    </row>
    <row r="220" spans="5:5" ht="15.75" thickBot="1" x14ac:dyDescent="0.3">
      <c r="E220" s="17"/>
    </row>
    <row r="221" spans="5:5" ht="15.75" thickBot="1" x14ac:dyDescent="0.3">
      <c r="E221" s="17"/>
    </row>
    <row r="222" spans="5:5" ht="15.75" thickBot="1" x14ac:dyDescent="0.3">
      <c r="E222" s="17"/>
    </row>
    <row r="223" spans="5:5" ht="15.75" thickBot="1" x14ac:dyDescent="0.3">
      <c r="E223" s="17"/>
    </row>
    <row r="224" spans="5:5" ht="15.75" thickBot="1" x14ac:dyDescent="0.3">
      <c r="E224" s="17"/>
    </row>
    <row r="225" spans="5:5" ht="15.75" thickBot="1" x14ac:dyDescent="0.3">
      <c r="E225" s="17"/>
    </row>
    <row r="226" spans="5:5" ht="15.75" thickBot="1" x14ac:dyDescent="0.3">
      <c r="E226" s="17"/>
    </row>
    <row r="227" spans="5:5" ht="15.75" thickBot="1" x14ac:dyDescent="0.3">
      <c r="E227" s="17"/>
    </row>
    <row r="228" spans="5:5" ht="15.75" thickBot="1" x14ac:dyDescent="0.3">
      <c r="E228" s="17"/>
    </row>
    <row r="229" spans="5:5" ht="15.75" thickBot="1" x14ac:dyDescent="0.3">
      <c r="E229" s="17"/>
    </row>
    <row r="230" spans="5:5" ht="15.75" thickBot="1" x14ac:dyDescent="0.3">
      <c r="E230" s="17"/>
    </row>
    <row r="231" spans="5:5" ht="15.75" thickBot="1" x14ac:dyDescent="0.3">
      <c r="E231" s="17"/>
    </row>
    <row r="232" spans="5:5" ht="15.75" thickBot="1" x14ac:dyDescent="0.3">
      <c r="E232" s="17"/>
    </row>
    <row r="233" spans="5:5" ht="15.75" thickBot="1" x14ac:dyDescent="0.3">
      <c r="E233" s="17"/>
    </row>
    <row r="234" spans="5:5" ht="15.75" thickBot="1" x14ac:dyDescent="0.3">
      <c r="E234" s="17"/>
    </row>
    <row r="235" spans="5:5" ht="15.75" thickBot="1" x14ac:dyDescent="0.3">
      <c r="E235" s="17"/>
    </row>
    <row r="236" spans="5:5" ht="15.75" thickBot="1" x14ac:dyDescent="0.3">
      <c r="E236" s="17"/>
    </row>
    <row r="237" spans="5:5" ht="15.75" thickBot="1" x14ac:dyDescent="0.3">
      <c r="E237" s="17"/>
    </row>
    <row r="238" spans="5:5" ht="15.75" thickBot="1" x14ac:dyDescent="0.3">
      <c r="E238" s="17"/>
    </row>
    <row r="239" spans="5:5" ht="15.75" thickBot="1" x14ac:dyDescent="0.3">
      <c r="E239" s="17"/>
    </row>
    <row r="240" spans="5:5" ht="15.75" thickBot="1" x14ac:dyDescent="0.3">
      <c r="E240" s="17"/>
    </row>
    <row r="241" spans="5:5" ht="15.75" thickBot="1" x14ac:dyDescent="0.3">
      <c r="E241" s="17"/>
    </row>
    <row r="242" spans="5:5" ht="15.75" thickBot="1" x14ac:dyDescent="0.3">
      <c r="E242" s="17"/>
    </row>
    <row r="243" spans="5:5" ht="15.75" thickBot="1" x14ac:dyDescent="0.3">
      <c r="E243" s="17"/>
    </row>
    <row r="244" spans="5:5" ht="15.75" thickBot="1" x14ac:dyDescent="0.3">
      <c r="E244" s="17"/>
    </row>
    <row r="245" spans="5:5" ht="15.75" thickBot="1" x14ac:dyDescent="0.3">
      <c r="E245" s="17"/>
    </row>
    <row r="246" spans="5:5" ht="15.75" thickBot="1" x14ac:dyDescent="0.3">
      <c r="E246" s="17"/>
    </row>
    <row r="247" spans="5:5" ht="15.75" thickBot="1" x14ac:dyDescent="0.3">
      <c r="E247" s="17"/>
    </row>
    <row r="248" spans="5:5" ht="15.75" thickBot="1" x14ac:dyDescent="0.3">
      <c r="E248" s="17"/>
    </row>
    <row r="249" spans="5:5" ht="15.75" thickBot="1" x14ac:dyDescent="0.3">
      <c r="E249" s="17"/>
    </row>
    <row r="250" spans="5:5" ht="15.75" thickBot="1" x14ac:dyDescent="0.3">
      <c r="E250" s="17"/>
    </row>
    <row r="251" spans="5:5" ht="15.75" thickBot="1" x14ac:dyDescent="0.3">
      <c r="E251" s="17"/>
    </row>
    <row r="252" spans="5:5" ht="15.75" thickBot="1" x14ac:dyDescent="0.3">
      <c r="E252" s="17"/>
    </row>
    <row r="253" spans="5:5" ht="15.75" thickBot="1" x14ac:dyDescent="0.3">
      <c r="E253" s="17"/>
    </row>
    <row r="254" spans="5:5" ht="15.75" thickBot="1" x14ac:dyDescent="0.3">
      <c r="E254" s="17"/>
    </row>
    <row r="255" spans="5:5" ht="15.75" thickBot="1" x14ac:dyDescent="0.3">
      <c r="E255" s="17"/>
    </row>
    <row r="256" spans="5:5" ht="15.75" thickBot="1" x14ac:dyDescent="0.3">
      <c r="E256" s="17"/>
    </row>
    <row r="257" spans="5:5" ht="15.75" thickBot="1" x14ac:dyDescent="0.3">
      <c r="E257" s="17"/>
    </row>
    <row r="258" spans="5:5" ht="15.75" thickBot="1" x14ac:dyDescent="0.3">
      <c r="E258" s="17"/>
    </row>
    <row r="259" spans="5:5" ht="15.75" thickBot="1" x14ac:dyDescent="0.3">
      <c r="E259" s="17"/>
    </row>
    <row r="260" spans="5:5" ht="15.75" thickBot="1" x14ac:dyDescent="0.3">
      <c r="E260" s="17"/>
    </row>
    <row r="261" spans="5:5" ht="15.75" thickBot="1" x14ac:dyDescent="0.3">
      <c r="E261" s="17"/>
    </row>
    <row r="262" spans="5:5" ht="15.75" thickBot="1" x14ac:dyDescent="0.3">
      <c r="E262" s="17"/>
    </row>
    <row r="263" spans="5:5" ht="15.75" thickBot="1" x14ac:dyDescent="0.3">
      <c r="E263" s="17"/>
    </row>
    <row r="264" spans="5:5" ht="15.75" thickBot="1" x14ac:dyDescent="0.3">
      <c r="E264" s="17"/>
    </row>
    <row r="265" spans="5:5" ht="15.75" thickBot="1" x14ac:dyDescent="0.3">
      <c r="E265" s="17"/>
    </row>
    <row r="266" spans="5:5" ht="15.75" thickBot="1" x14ac:dyDescent="0.3">
      <c r="E266" s="17"/>
    </row>
    <row r="267" spans="5:5" ht="15.75" thickBot="1" x14ac:dyDescent="0.3">
      <c r="E267" s="17"/>
    </row>
    <row r="268" spans="5:5" ht="15.75" thickBot="1" x14ac:dyDescent="0.3">
      <c r="E268" s="17"/>
    </row>
    <row r="269" spans="5:5" ht="15.75" thickBot="1" x14ac:dyDescent="0.3">
      <c r="E269" s="17"/>
    </row>
    <row r="270" spans="5:5" ht="15.75" thickBot="1" x14ac:dyDescent="0.3">
      <c r="E270" s="17"/>
    </row>
    <row r="271" spans="5:5" ht="15.75" thickBot="1" x14ac:dyDescent="0.3">
      <c r="E271" s="17"/>
    </row>
    <row r="272" spans="5:5" ht="15.75" thickBot="1" x14ac:dyDescent="0.3">
      <c r="E272" s="17"/>
    </row>
    <row r="273" spans="5:5" ht="15.75" thickBot="1" x14ac:dyDescent="0.3">
      <c r="E273" s="17"/>
    </row>
    <row r="274" spans="5:5" ht="15.75" thickBot="1" x14ac:dyDescent="0.3">
      <c r="E274" s="17"/>
    </row>
    <row r="275" spans="5:5" ht="15.75" thickBot="1" x14ac:dyDescent="0.3">
      <c r="E275" s="17"/>
    </row>
    <row r="276" spans="5:5" ht="15.75" thickBot="1" x14ac:dyDescent="0.3">
      <c r="E276" s="17"/>
    </row>
    <row r="277" spans="5:5" ht="15.75" thickBot="1" x14ac:dyDescent="0.3">
      <c r="E277" s="17"/>
    </row>
    <row r="278" spans="5:5" ht="15.75" thickBot="1" x14ac:dyDescent="0.3">
      <c r="E278" s="17"/>
    </row>
    <row r="279" spans="5:5" ht="15.75" thickBot="1" x14ac:dyDescent="0.3">
      <c r="E279" s="17"/>
    </row>
    <row r="280" spans="5:5" ht="15.75" thickBot="1" x14ac:dyDescent="0.3">
      <c r="E280" s="17"/>
    </row>
    <row r="281" spans="5:5" ht="15.75" thickBot="1" x14ac:dyDescent="0.3">
      <c r="E281" s="17"/>
    </row>
    <row r="282" spans="5:5" ht="15.75" thickBot="1" x14ac:dyDescent="0.3">
      <c r="E282" s="17"/>
    </row>
    <row r="283" spans="5:5" ht="15.75" thickBot="1" x14ac:dyDescent="0.3">
      <c r="E283" s="17"/>
    </row>
    <row r="284" spans="5:5" ht="15.75" thickBot="1" x14ac:dyDescent="0.3">
      <c r="E284" s="17"/>
    </row>
    <row r="285" spans="5:5" ht="15.75" thickBot="1" x14ac:dyDescent="0.3">
      <c r="E285" s="17"/>
    </row>
    <row r="286" spans="5:5" ht="15.75" thickBot="1" x14ac:dyDescent="0.3">
      <c r="E286" s="17"/>
    </row>
    <row r="287" spans="5:5" ht="15.75" thickBot="1" x14ac:dyDescent="0.3">
      <c r="E287" s="17"/>
    </row>
    <row r="288" spans="5:5" ht="15.75" thickBot="1" x14ac:dyDescent="0.3">
      <c r="E288" s="17"/>
    </row>
    <row r="289" spans="5:5" ht="15.75" thickBot="1" x14ac:dyDescent="0.3">
      <c r="E289" s="17"/>
    </row>
    <row r="290" spans="5:5" ht="15.75" thickBot="1" x14ac:dyDescent="0.3">
      <c r="E290" s="17"/>
    </row>
    <row r="291" spans="5:5" ht="15.75" thickBot="1" x14ac:dyDescent="0.3">
      <c r="E291" s="17"/>
    </row>
    <row r="292" spans="5:5" ht="15.75" thickBot="1" x14ac:dyDescent="0.3">
      <c r="E292" s="17"/>
    </row>
    <row r="293" spans="5:5" ht="15.75" thickBot="1" x14ac:dyDescent="0.3">
      <c r="E293" s="17"/>
    </row>
    <row r="294" spans="5:5" ht="15.75" thickBot="1" x14ac:dyDescent="0.3">
      <c r="E294" s="17"/>
    </row>
    <row r="295" spans="5:5" ht="15.75" thickBot="1" x14ac:dyDescent="0.3">
      <c r="E295" s="17"/>
    </row>
    <row r="296" spans="5:5" ht="15.75" thickBot="1" x14ac:dyDescent="0.3">
      <c r="E296" s="17"/>
    </row>
    <row r="297" spans="5:5" ht="15.75" thickBot="1" x14ac:dyDescent="0.3">
      <c r="E297" s="17"/>
    </row>
    <row r="298" spans="5:5" ht="15.75" thickBot="1" x14ac:dyDescent="0.3">
      <c r="E298" s="17"/>
    </row>
    <row r="299" spans="5:5" ht="15.75" thickBot="1" x14ac:dyDescent="0.3">
      <c r="E299" s="17"/>
    </row>
    <row r="300" spans="5:5" ht="15.75" thickBot="1" x14ac:dyDescent="0.3">
      <c r="E300" s="17"/>
    </row>
    <row r="301" spans="5:5" ht="15.75" thickBot="1" x14ac:dyDescent="0.3">
      <c r="E301" s="17"/>
    </row>
    <row r="302" spans="5:5" ht="15.75" thickBot="1" x14ac:dyDescent="0.3">
      <c r="E302" s="17"/>
    </row>
    <row r="303" spans="5:5" ht="15.75" thickBot="1" x14ac:dyDescent="0.3">
      <c r="E303" s="17"/>
    </row>
    <row r="304" spans="5:5" ht="15.75" thickBot="1" x14ac:dyDescent="0.3">
      <c r="E304" s="17"/>
    </row>
    <row r="305" spans="5:5" ht="15.75" thickBot="1" x14ac:dyDescent="0.3">
      <c r="E305" s="17"/>
    </row>
    <row r="306" spans="5:5" ht="15.75" thickBot="1" x14ac:dyDescent="0.3">
      <c r="E306" s="17"/>
    </row>
    <row r="307" spans="5:5" ht="15.75" thickBot="1" x14ac:dyDescent="0.3">
      <c r="E307" s="17"/>
    </row>
    <row r="308" spans="5:5" ht="15.75" thickBot="1" x14ac:dyDescent="0.3">
      <c r="E308" s="17"/>
    </row>
    <row r="309" spans="5:5" ht="15.75" thickBot="1" x14ac:dyDescent="0.3">
      <c r="E309" s="17"/>
    </row>
    <row r="310" spans="5:5" ht="15.75" thickBot="1" x14ac:dyDescent="0.3">
      <c r="E310" s="17"/>
    </row>
    <row r="311" spans="5:5" ht="15.75" thickBot="1" x14ac:dyDescent="0.3">
      <c r="E311" s="17"/>
    </row>
    <row r="312" spans="5:5" ht="15.75" thickBot="1" x14ac:dyDescent="0.3">
      <c r="E312" s="17"/>
    </row>
    <row r="313" spans="5:5" ht="15.75" thickBot="1" x14ac:dyDescent="0.3">
      <c r="E313" s="17"/>
    </row>
    <row r="314" spans="5:5" ht="15.75" thickBot="1" x14ac:dyDescent="0.3">
      <c r="E314" s="17"/>
    </row>
    <row r="315" spans="5:5" ht="15.75" thickBot="1" x14ac:dyDescent="0.3">
      <c r="E315" s="17"/>
    </row>
    <row r="316" spans="5:5" ht="15.75" thickBot="1" x14ac:dyDescent="0.3">
      <c r="E316" s="17"/>
    </row>
    <row r="317" spans="5:5" ht="15.75" thickBot="1" x14ac:dyDescent="0.3">
      <c r="E317" s="17"/>
    </row>
    <row r="318" spans="5:5" ht="15.75" thickBot="1" x14ac:dyDescent="0.3">
      <c r="E318" s="17"/>
    </row>
    <row r="319" spans="5:5" ht="15.75" thickBot="1" x14ac:dyDescent="0.3">
      <c r="E319" s="17"/>
    </row>
    <row r="320" spans="5:5" ht="15.75" thickBot="1" x14ac:dyDescent="0.3">
      <c r="E320" s="17"/>
    </row>
    <row r="321" spans="5:5" ht="15.75" thickBot="1" x14ac:dyDescent="0.3">
      <c r="E321" s="17"/>
    </row>
    <row r="322" spans="5:5" ht="15.75" thickBot="1" x14ac:dyDescent="0.3">
      <c r="E322" s="17"/>
    </row>
    <row r="323" spans="5:5" ht="15.75" thickBot="1" x14ac:dyDescent="0.3">
      <c r="E323" s="17"/>
    </row>
    <row r="324" spans="5:5" ht="15.75" thickBot="1" x14ac:dyDescent="0.3">
      <c r="E324" s="17"/>
    </row>
    <row r="325" spans="5:5" ht="15.75" thickBot="1" x14ac:dyDescent="0.3">
      <c r="E325" s="17"/>
    </row>
    <row r="326" spans="5:5" ht="15.75" thickBot="1" x14ac:dyDescent="0.3">
      <c r="E326" s="17"/>
    </row>
    <row r="327" spans="5:5" ht="15.75" thickBot="1" x14ac:dyDescent="0.3">
      <c r="E327" s="17"/>
    </row>
    <row r="328" spans="5:5" ht="15.75" thickBot="1" x14ac:dyDescent="0.3">
      <c r="E328" s="17"/>
    </row>
    <row r="329" spans="5:5" ht="15.75" thickBot="1" x14ac:dyDescent="0.3">
      <c r="E329" s="17"/>
    </row>
    <row r="330" spans="5:5" ht="15.75" thickBot="1" x14ac:dyDescent="0.3">
      <c r="E330" s="17"/>
    </row>
    <row r="331" spans="5:5" ht="15.75" thickBot="1" x14ac:dyDescent="0.3">
      <c r="E331" s="17"/>
    </row>
    <row r="332" spans="5:5" ht="15.75" thickBot="1" x14ac:dyDescent="0.3">
      <c r="E332" s="17"/>
    </row>
    <row r="333" spans="5:5" ht="15.75" thickBot="1" x14ac:dyDescent="0.3">
      <c r="E333" s="17"/>
    </row>
    <row r="334" spans="5:5" ht="15.75" thickBot="1" x14ac:dyDescent="0.3">
      <c r="E334" s="17"/>
    </row>
    <row r="335" spans="5:5" ht="15.75" thickBot="1" x14ac:dyDescent="0.3">
      <c r="E335" s="17"/>
    </row>
    <row r="336" spans="5:5" ht="15.75" thickBot="1" x14ac:dyDescent="0.3">
      <c r="E336" s="17"/>
    </row>
    <row r="337" spans="5:5" ht="15.75" thickBot="1" x14ac:dyDescent="0.3">
      <c r="E337" s="17"/>
    </row>
    <row r="338" spans="5:5" ht="15.75" thickBot="1" x14ac:dyDescent="0.3">
      <c r="E338" s="17"/>
    </row>
    <row r="339" spans="5:5" ht="15.75" thickBot="1" x14ac:dyDescent="0.3">
      <c r="E339" s="17"/>
    </row>
    <row r="340" spans="5:5" ht="15.75" thickBot="1" x14ac:dyDescent="0.3">
      <c r="E340" s="17"/>
    </row>
    <row r="341" spans="5:5" ht="15.75" thickBot="1" x14ac:dyDescent="0.3">
      <c r="E341" s="17"/>
    </row>
    <row r="342" spans="5:5" ht="15.75" thickBot="1" x14ac:dyDescent="0.3">
      <c r="E342" s="17"/>
    </row>
    <row r="343" spans="5:5" ht="15.75" thickBot="1" x14ac:dyDescent="0.3">
      <c r="E343" s="17"/>
    </row>
    <row r="344" spans="5:5" ht="15.75" thickBot="1" x14ac:dyDescent="0.3">
      <c r="E344" s="17"/>
    </row>
    <row r="345" spans="5:5" ht="15.75" thickBot="1" x14ac:dyDescent="0.3">
      <c r="E345" s="17"/>
    </row>
    <row r="346" spans="5:5" ht="15.75" thickBot="1" x14ac:dyDescent="0.3">
      <c r="E346" s="17"/>
    </row>
    <row r="347" spans="5:5" ht="15.75" thickBot="1" x14ac:dyDescent="0.3">
      <c r="E347" s="17"/>
    </row>
    <row r="348" spans="5:5" ht="15.75" thickBot="1" x14ac:dyDescent="0.3">
      <c r="E348" s="17"/>
    </row>
    <row r="349" spans="5:5" ht="15.75" thickBot="1" x14ac:dyDescent="0.3">
      <c r="E349" s="17"/>
    </row>
    <row r="350" spans="5:5" ht="15.75" thickBot="1" x14ac:dyDescent="0.3">
      <c r="E350" s="17"/>
    </row>
    <row r="351" spans="5:5" ht="15.75" thickBot="1" x14ac:dyDescent="0.3">
      <c r="E351" s="17"/>
    </row>
    <row r="352" spans="5:5" ht="15.75" thickBot="1" x14ac:dyDescent="0.3">
      <c r="E352" s="17"/>
    </row>
    <row r="353" spans="5:5" ht="15.75" thickBot="1" x14ac:dyDescent="0.3">
      <c r="E353" s="17"/>
    </row>
    <row r="354" spans="5:5" ht="15.75" thickBot="1" x14ac:dyDescent="0.3">
      <c r="E354" s="17"/>
    </row>
    <row r="355" spans="5:5" ht="15.75" thickBot="1" x14ac:dyDescent="0.3">
      <c r="E355" s="17"/>
    </row>
    <row r="356" spans="5:5" ht="15.75" thickBot="1" x14ac:dyDescent="0.3">
      <c r="E356" s="17"/>
    </row>
    <row r="357" spans="5:5" ht="15.75" thickBot="1" x14ac:dyDescent="0.3">
      <c r="E357" s="17"/>
    </row>
    <row r="358" spans="5:5" ht="15.75" thickBot="1" x14ac:dyDescent="0.3">
      <c r="E358" s="17"/>
    </row>
    <row r="359" spans="5:5" ht="15.75" thickBot="1" x14ac:dyDescent="0.3">
      <c r="E359" s="17"/>
    </row>
    <row r="360" spans="5:5" ht="15.75" thickBot="1" x14ac:dyDescent="0.3">
      <c r="E360" s="17"/>
    </row>
    <row r="361" spans="5:5" ht="15.75" thickBot="1" x14ac:dyDescent="0.3">
      <c r="E361" s="17"/>
    </row>
    <row r="362" spans="5:5" ht="15.75" thickBot="1" x14ac:dyDescent="0.3">
      <c r="E362" s="17"/>
    </row>
    <row r="363" spans="5:5" ht="15.75" thickBot="1" x14ac:dyDescent="0.3">
      <c r="E363" s="17"/>
    </row>
    <row r="364" spans="5:5" ht="15.75" thickBot="1" x14ac:dyDescent="0.3">
      <c r="E364" s="17"/>
    </row>
    <row r="365" spans="5:5" ht="15.75" thickBot="1" x14ac:dyDescent="0.3">
      <c r="E365" s="17"/>
    </row>
    <row r="366" spans="5:5" ht="15.75" thickBot="1" x14ac:dyDescent="0.3">
      <c r="E366" s="17"/>
    </row>
    <row r="367" spans="5:5" ht="15.75" thickBot="1" x14ac:dyDescent="0.3">
      <c r="E367" s="17"/>
    </row>
    <row r="368" spans="5:5" ht="15.75" thickBot="1" x14ac:dyDescent="0.3">
      <c r="E368" s="17"/>
    </row>
    <row r="369" spans="5:5" ht="15.75" thickBot="1" x14ac:dyDescent="0.3">
      <c r="E369" s="17"/>
    </row>
    <row r="370" spans="5:5" ht="15.75" thickBot="1" x14ac:dyDescent="0.3">
      <c r="E370" s="17"/>
    </row>
    <row r="371" spans="5:5" ht="15.75" thickBot="1" x14ac:dyDescent="0.3">
      <c r="E371" s="17"/>
    </row>
    <row r="372" spans="5:5" ht="15.75" thickBot="1" x14ac:dyDescent="0.3">
      <c r="E372" s="17"/>
    </row>
    <row r="373" spans="5:5" ht="15.75" thickBot="1" x14ac:dyDescent="0.3">
      <c r="E373" s="17"/>
    </row>
    <row r="374" spans="5:5" ht="15.75" thickBot="1" x14ac:dyDescent="0.3">
      <c r="E374" s="17"/>
    </row>
    <row r="375" spans="5:5" ht="15.75" thickBot="1" x14ac:dyDescent="0.3">
      <c r="E375" s="17"/>
    </row>
    <row r="376" spans="5:5" ht="15.75" thickBot="1" x14ac:dyDescent="0.3">
      <c r="E376" s="17"/>
    </row>
    <row r="377" spans="5:5" ht="15.75" thickBot="1" x14ac:dyDescent="0.3">
      <c r="E377" s="17"/>
    </row>
    <row r="378" spans="5:5" ht="15.75" thickBot="1" x14ac:dyDescent="0.3">
      <c r="E378" s="17"/>
    </row>
    <row r="379" spans="5:5" ht="15.75" thickBot="1" x14ac:dyDescent="0.3">
      <c r="E379" s="17"/>
    </row>
    <row r="380" spans="5:5" ht="15.75" thickBot="1" x14ac:dyDescent="0.3">
      <c r="E380" s="17"/>
    </row>
    <row r="381" spans="5:5" ht="15.75" thickBot="1" x14ac:dyDescent="0.3">
      <c r="E381" s="17"/>
    </row>
    <row r="382" spans="5:5" ht="15.75" thickBot="1" x14ac:dyDescent="0.3">
      <c r="E382" s="17"/>
    </row>
    <row r="383" spans="5:5" ht="15.75" thickBot="1" x14ac:dyDescent="0.3">
      <c r="E383" s="17"/>
    </row>
    <row r="384" spans="5:5" ht="15.75" thickBot="1" x14ac:dyDescent="0.3">
      <c r="E384" s="17"/>
    </row>
    <row r="385" spans="5:5" ht="15.75" thickBot="1" x14ac:dyDescent="0.3">
      <c r="E385" s="17"/>
    </row>
    <row r="386" spans="5:5" ht="15.75" thickBot="1" x14ac:dyDescent="0.3">
      <c r="E386" s="17"/>
    </row>
    <row r="387" spans="5:5" ht="15.75" thickBot="1" x14ac:dyDescent="0.3">
      <c r="E387" s="17"/>
    </row>
    <row r="388" spans="5:5" ht="15.75" thickBot="1" x14ac:dyDescent="0.3">
      <c r="E388" s="17"/>
    </row>
    <row r="389" spans="5:5" ht="15.75" thickBot="1" x14ac:dyDescent="0.3">
      <c r="E389" s="17"/>
    </row>
    <row r="390" spans="5:5" ht="15.75" thickBot="1" x14ac:dyDescent="0.3">
      <c r="E390" s="17"/>
    </row>
    <row r="391" spans="5:5" ht="15.75" thickBot="1" x14ac:dyDescent="0.3">
      <c r="E391" s="17"/>
    </row>
    <row r="392" spans="5:5" ht="15.75" thickBot="1" x14ac:dyDescent="0.3">
      <c r="E392" s="17"/>
    </row>
    <row r="393" spans="5:5" ht="15.75" thickBot="1" x14ac:dyDescent="0.3">
      <c r="E393" s="17"/>
    </row>
    <row r="394" spans="5:5" ht="15.75" thickBot="1" x14ac:dyDescent="0.3">
      <c r="E394" s="17"/>
    </row>
    <row r="395" spans="5:5" ht="15.75" thickBot="1" x14ac:dyDescent="0.3">
      <c r="E395" s="17"/>
    </row>
    <row r="396" spans="5:5" ht="15.75" thickBot="1" x14ac:dyDescent="0.3">
      <c r="E396" s="17"/>
    </row>
    <row r="397" spans="5:5" ht="15.75" thickBot="1" x14ac:dyDescent="0.3">
      <c r="E397" s="17"/>
    </row>
    <row r="398" spans="5:5" ht="15.75" thickBot="1" x14ac:dyDescent="0.3">
      <c r="E398" s="17"/>
    </row>
    <row r="399" spans="5:5" ht="15.75" thickBot="1" x14ac:dyDescent="0.3">
      <c r="E399" s="17"/>
    </row>
    <row r="400" spans="5:5" ht="15.75" thickBot="1" x14ac:dyDescent="0.3">
      <c r="E400" s="17"/>
    </row>
    <row r="401" spans="5:5" ht="15.75" thickBot="1" x14ac:dyDescent="0.3">
      <c r="E401" s="17"/>
    </row>
    <row r="402" spans="5:5" ht="15.75" thickBot="1" x14ac:dyDescent="0.3">
      <c r="E402" s="17"/>
    </row>
    <row r="403" spans="5:5" ht="15.75" thickBot="1" x14ac:dyDescent="0.3">
      <c r="E403" s="17"/>
    </row>
    <row r="404" spans="5:5" ht="15.75" thickBot="1" x14ac:dyDescent="0.3">
      <c r="E404" s="17"/>
    </row>
    <row r="405" spans="5:5" ht="15.75" thickBot="1" x14ac:dyDescent="0.3">
      <c r="E405" s="17"/>
    </row>
    <row r="406" spans="5:5" ht="15.75" thickBot="1" x14ac:dyDescent="0.3">
      <c r="E406" s="17"/>
    </row>
    <row r="407" spans="5:5" ht="15.75" thickBot="1" x14ac:dyDescent="0.3">
      <c r="E407" s="17"/>
    </row>
    <row r="408" spans="5:5" ht="15.75" thickBot="1" x14ac:dyDescent="0.3">
      <c r="E408" s="17"/>
    </row>
    <row r="409" spans="5:5" ht="15.75" thickBot="1" x14ac:dyDescent="0.3">
      <c r="E409" s="17"/>
    </row>
    <row r="410" spans="5:5" ht="15.75" thickBot="1" x14ac:dyDescent="0.3">
      <c r="E410" s="17"/>
    </row>
    <row r="411" spans="5:5" ht="15.75" thickBot="1" x14ac:dyDescent="0.3">
      <c r="E411" s="17"/>
    </row>
    <row r="412" spans="5:5" ht="15.75" thickBot="1" x14ac:dyDescent="0.3">
      <c r="E412" s="17"/>
    </row>
    <row r="413" spans="5:5" ht="15.75" thickBot="1" x14ac:dyDescent="0.3">
      <c r="E413" s="17"/>
    </row>
    <row r="414" spans="5:5" ht="15.75" thickBot="1" x14ac:dyDescent="0.3">
      <c r="E414" s="17"/>
    </row>
    <row r="415" spans="5:5" ht="15.75" thickBot="1" x14ac:dyDescent="0.3">
      <c r="E415" s="17"/>
    </row>
    <row r="416" spans="5:5" ht="15.75" thickBot="1" x14ac:dyDescent="0.3">
      <c r="E416" s="17"/>
    </row>
    <row r="417" spans="5:5" ht="15.75" thickBot="1" x14ac:dyDescent="0.3">
      <c r="E417" s="17"/>
    </row>
    <row r="418" spans="5:5" ht="15.75" thickBot="1" x14ac:dyDescent="0.3">
      <c r="E418" s="17"/>
    </row>
    <row r="419" spans="5:5" ht="15.75" thickBot="1" x14ac:dyDescent="0.3">
      <c r="E419" s="17"/>
    </row>
    <row r="420" spans="5:5" ht="15.75" thickBot="1" x14ac:dyDescent="0.3">
      <c r="E420" s="17"/>
    </row>
    <row r="421" spans="5:5" ht="15.75" thickBot="1" x14ac:dyDescent="0.3">
      <c r="E421" s="17"/>
    </row>
    <row r="422" spans="5:5" ht="15.75" thickBot="1" x14ac:dyDescent="0.3">
      <c r="E422" s="17"/>
    </row>
    <row r="423" spans="5:5" ht="15.75" thickBot="1" x14ac:dyDescent="0.3">
      <c r="E423" s="17"/>
    </row>
    <row r="424" spans="5:5" ht="15.75" thickBot="1" x14ac:dyDescent="0.3">
      <c r="E424" s="17"/>
    </row>
    <row r="425" spans="5:5" ht="15.75" thickBot="1" x14ac:dyDescent="0.3">
      <c r="E425" s="17"/>
    </row>
    <row r="426" spans="5:5" ht="15.75" thickBot="1" x14ac:dyDescent="0.3">
      <c r="E426" s="17"/>
    </row>
    <row r="427" spans="5:5" ht="15.75" thickBot="1" x14ac:dyDescent="0.3">
      <c r="E427" s="17"/>
    </row>
    <row r="428" spans="5:5" ht="15.75" thickBot="1" x14ac:dyDescent="0.3">
      <c r="E428" s="17"/>
    </row>
    <row r="429" spans="5:5" ht="15.75" thickBot="1" x14ac:dyDescent="0.3">
      <c r="E429" s="17"/>
    </row>
    <row r="430" spans="5:5" ht="15.75" thickBot="1" x14ac:dyDescent="0.3">
      <c r="E430" s="17"/>
    </row>
    <row r="431" spans="5:5" ht="15.75" thickBot="1" x14ac:dyDescent="0.3">
      <c r="E431" s="17"/>
    </row>
    <row r="432" spans="5:5" ht="15.75" thickBot="1" x14ac:dyDescent="0.3">
      <c r="E432" s="17"/>
    </row>
    <row r="433" spans="5:5" ht="15.75" thickBot="1" x14ac:dyDescent="0.3">
      <c r="E433" s="17"/>
    </row>
    <row r="434" spans="5:5" ht="15.75" thickBot="1" x14ac:dyDescent="0.3">
      <c r="E434" s="17"/>
    </row>
    <row r="435" spans="5:5" ht="15.75" thickBot="1" x14ac:dyDescent="0.3">
      <c r="E435" s="17"/>
    </row>
    <row r="436" spans="5:5" ht="15.75" thickBot="1" x14ac:dyDescent="0.3">
      <c r="E436" s="17"/>
    </row>
    <row r="437" spans="5:5" ht="15.75" thickBot="1" x14ac:dyDescent="0.3">
      <c r="E437" s="17"/>
    </row>
    <row r="438" spans="5:5" ht="15.75" thickBot="1" x14ac:dyDescent="0.3">
      <c r="E438" s="17"/>
    </row>
    <row r="439" spans="5:5" ht="15.75" thickBot="1" x14ac:dyDescent="0.3">
      <c r="E439" s="17"/>
    </row>
    <row r="440" spans="5:5" ht="15.75" thickBot="1" x14ac:dyDescent="0.3">
      <c r="E440" s="17"/>
    </row>
    <row r="441" spans="5:5" ht="15.75" thickBot="1" x14ac:dyDescent="0.3">
      <c r="E441" s="17"/>
    </row>
    <row r="442" spans="5:5" ht="15.75" thickBot="1" x14ac:dyDescent="0.3">
      <c r="E442" s="17"/>
    </row>
    <row r="443" spans="5:5" ht="15.75" thickBot="1" x14ac:dyDescent="0.3">
      <c r="E443" s="17"/>
    </row>
    <row r="444" spans="5:5" ht="15.75" thickBot="1" x14ac:dyDescent="0.3">
      <c r="E444" s="17"/>
    </row>
    <row r="445" spans="5:5" ht="15.75" thickBot="1" x14ac:dyDescent="0.3">
      <c r="E445" s="17"/>
    </row>
    <row r="446" spans="5:5" ht="15.75" thickBot="1" x14ac:dyDescent="0.3">
      <c r="E446" s="17"/>
    </row>
    <row r="447" spans="5:5" ht="15.75" thickBot="1" x14ac:dyDescent="0.3">
      <c r="E447" s="17"/>
    </row>
    <row r="448" spans="5:5" ht="15.75" thickBot="1" x14ac:dyDescent="0.3">
      <c r="E448" s="17"/>
    </row>
    <row r="449" spans="5:5" ht="15.75" thickBot="1" x14ac:dyDescent="0.3">
      <c r="E449" s="17"/>
    </row>
    <row r="450" spans="5:5" ht="15.75" thickBot="1" x14ac:dyDescent="0.3">
      <c r="E450" s="17"/>
    </row>
    <row r="451" spans="5:5" ht="15.75" thickBot="1" x14ac:dyDescent="0.3">
      <c r="E451" s="17"/>
    </row>
    <row r="452" spans="5:5" ht="15.75" thickBot="1" x14ac:dyDescent="0.3">
      <c r="E452" s="17"/>
    </row>
    <row r="453" spans="5:5" ht="15.75" thickBot="1" x14ac:dyDescent="0.3">
      <c r="E453" s="17"/>
    </row>
    <row r="454" spans="5:5" ht="15.75" thickBot="1" x14ac:dyDescent="0.3">
      <c r="E454" s="17"/>
    </row>
    <row r="455" spans="5:5" ht="15.75" thickBot="1" x14ac:dyDescent="0.3">
      <c r="E455" s="17"/>
    </row>
    <row r="456" spans="5:5" ht="15.75" thickBot="1" x14ac:dyDescent="0.3">
      <c r="E456" s="17"/>
    </row>
    <row r="457" spans="5:5" ht="15.75" thickBot="1" x14ac:dyDescent="0.3">
      <c r="E457" s="17"/>
    </row>
    <row r="458" spans="5:5" ht="15.75" thickBot="1" x14ac:dyDescent="0.3">
      <c r="E458" s="17"/>
    </row>
    <row r="459" spans="5:5" ht="15.75" thickBot="1" x14ac:dyDescent="0.3">
      <c r="E459" s="17"/>
    </row>
    <row r="460" spans="5:5" ht="15.75" thickBot="1" x14ac:dyDescent="0.3">
      <c r="E460" s="17"/>
    </row>
    <row r="461" spans="5:5" ht="15.75" thickBot="1" x14ac:dyDescent="0.3">
      <c r="E461" s="17"/>
    </row>
    <row r="462" spans="5:5" ht="15.75" thickBot="1" x14ac:dyDescent="0.3">
      <c r="E462" s="17"/>
    </row>
    <row r="463" spans="5:5" ht="15.75" thickBot="1" x14ac:dyDescent="0.3">
      <c r="E463" s="17"/>
    </row>
    <row r="464" spans="5:5" ht="15.75" thickBot="1" x14ac:dyDescent="0.3">
      <c r="E464" s="17"/>
    </row>
    <row r="465" spans="5:5" ht="15.75" thickBot="1" x14ac:dyDescent="0.3">
      <c r="E465" s="17"/>
    </row>
    <row r="466" spans="5:5" ht="15.75" thickBot="1" x14ac:dyDescent="0.3">
      <c r="E466" s="17"/>
    </row>
    <row r="467" spans="5:5" ht="15.75" thickBot="1" x14ac:dyDescent="0.3">
      <c r="E467" s="17"/>
    </row>
    <row r="468" spans="5:5" ht="15.75" thickBot="1" x14ac:dyDescent="0.3">
      <c r="E468" s="17"/>
    </row>
    <row r="469" spans="5:5" ht="15.75" thickBot="1" x14ac:dyDescent="0.3">
      <c r="E469" s="17"/>
    </row>
    <row r="470" spans="5:5" ht="15.75" thickBot="1" x14ac:dyDescent="0.3">
      <c r="E470" s="17"/>
    </row>
    <row r="471" spans="5:5" ht="15.75" thickBot="1" x14ac:dyDescent="0.3">
      <c r="E471" s="17"/>
    </row>
    <row r="472" spans="5:5" ht="15.75" thickBot="1" x14ac:dyDescent="0.3">
      <c r="E472" s="17"/>
    </row>
    <row r="473" spans="5:5" ht="15.75" thickBot="1" x14ac:dyDescent="0.3">
      <c r="E473" s="17"/>
    </row>
    <row r="474" spans="5:5" ht="15.75" thickBot="1" x14ac:dyDescent="0.3">
      <c r="E474" s="17"/>
    </row>
    <row r="475" spans="5:5" ht="15.75" thickBot="1" x14ac:dyDescent="0.3">
      <c r="E475" s="17"/>
    </row>
    <row r="476" spans="5:5" ht="15.75" thickBot="1" x14ac:dyDescent="0.3">
      <c r="E476" s="17"/>
    </row>
    <row r="477" spans="5:5" ht="15.75" thickBot="1" x14ac:dyDescent="0.3">
      <c r="E477" s="17"/>
    </row>
    <row r="478" spans="5:5" ht="15.75" thickBot="1" x14ac:dyDescent="0.3">
      <c r="E478" s="17"/>
    </row>
    <row r="479" spans="5:5" ht="15.75" thickBot="1" x14ac:dyDescent="0.3">
      <c r="E479" s="17"/>
    </row>
    <row r="480" spans="5:5" ht="15.75" thickBot="1" x14ac:dyDescent="0.3">
      <c r="E480" s="17"/>
    </row>
    <row r="481" spans="5:5" ht="15.75" thickBot="1" x14ac:dyDescent="0.3">
      <c r="E481" s="17"/>
    </row>
    <row r="482" spans="5:5" ht="15.75" thickBot="1" x14ac:dyDescent="0.3">
      <c r="E482" s="17"/>
    </row>
    <row r="483" spans="5:5" ht="15.75" thickBot="1" x14ac:dyDescent="0.3">
      <c r="E483" s="17"/>
    </row>
    <row r="484" spans="5:5" ht="15.75" thickBot="1" x14ac:dyDescent="0.3">
      <c r="E484" s="17"/>
    </row>
    <row r="485" spans="5:5" ht="15.75" thickBot="1" x14ac:dyDescent="0.3">
      <c r="E485" s="17"/>
    </row>
    <row r="486" spans="5:5" ht="15.75" thickBot="1" x14ac:dyDescent="0.3">
      <c r="E486" s="17"/>
    </row>
    <row r="487" spans="5:5" ht="15.75" thickBot="1" x14ac:dyDescent="0.3">
      <c r="E487" s="17"/>
    </row>
    <row r="488" spans="5:5" ht="15.75" thickBot="1" x14ac:dyDescent="0.3">
      <c r="E488" s="17"/>
    </row>
    <row r="489" spans="5:5" ht="15.75" thickBot="1" x14ac:dyDescent="0.3">
      <c r="E489" s="17"/>
    </row>
    <row r="490" spans="5:5" ht="15.75" thickBot="1" x14ac:dyDescent="0.3">
      <c r="E490" s="17"/>
    </row>
    <row r="491" spans="5:5" ht="15.75" thickBot="1" x14ac:dyDescent="0.3">
      <c r="E491" s="17"/>
    </row>
    <row r="492" spans="5:5" ht="15.75" thickBot="1" x14ac:dyDescent="0.3">
      <c r="E492" s="17"/>
    </row>
    <row r="493" spans="5:5" ht="15.75" thickBot="1" x14ac:dyDescent="0.3">
      <c r="E493" s="17"/>
    </row>
    <row r="494" spans="5:5" ht="15.75" thickBot="1" x14ac:dyDescent="0.3">
      <c r="E494" s="17"/>
    </row>
    <row r="495" spans="5:5" ht="15.75" thickBot="1" x14ac:dyDescent="0.3">
      <c r="E495" s="17"/>
    </row>
    <row r="496" spans="5:5" ht="15.75" thickBot="1" x14ac:dyDescent="0.3">
      <c r="E496" s="17"/>
    </row>
    <row r="497" spans="5:5" ht="15.75" thickBot="1" x14ac:dyDescent="0.3">
      <c r="E497" s="17"/>
    </row>
    <row r="498" spans="5:5" ht="15.75" thickBot="1" x14ac:dyDescent="0.3">
      <c r="E498" s="17"/>
    </row>
    <row r="499" spans="5:5" ht="15.75" thickBot="1" x14ac:dyDescent="0.3">
      <c r="E499" s="17"/>
    </row>
    <row r="500" spans="5:5" ht="15.75" thickBot="1" x14ac:dyDescent="0.3">
      <c r="E500" s="17"/>
    </row>
    <row r="501" spans="5:5" ht="15.75" thickBot="1" x14ac:dyDescent="0.3">
      <c r="E501" s="17"/>
    </row>
    <row r="502" spans="5:5" ht="15.75" thickBot="1" x14ac:dyDescent="0.3">
      <c r="E502" s="17"/>
    </row>
    <row r="503" spans="5:5" ht="15.75" thickBot="1" x14ac:dyDescent="0.3">
      <c r="E503" s="17"/>
    </row>
    <row r="504" spans="5:5" ht="15.75" thickBot="1" x14ac:dyDescent="0.3">
      <c r="E504" s="17"/>
    </row>
    <row r="505" spans="5:5" ht="15.75" thickBot="1" x14ac:dyDescent="0.3">
      <c r="E505" s="17"/>
    </row>
    <row r="506" spans="5:5" ht="15.75" thickBot="1" x14ac:dyDescent="0.3">
      <c r="E506" s="17"/>
    </row>
    <row r="507" spans="5:5" ht="15.75" thickBot="1" x14ac:dyDescent="0.3">
      <c r="E507" s="17"/>
    </row>
    <row r="508" spans="5:5" ht="15.75" thickBot="1" x14ac:dyDescent="0.3">
      <c r="E508" s="17"/>
    </row>
    <row r="509" spans="5:5" ht="15.75" thickBot="1" x14ac:dyDescent="0.3">
      <c r="E509" s="17"/>
    </row>
    <row r="510" spans="5:5" ht="15.75" thickBot="1" x14ac:dyDescent="0.3">
      <c r="E510" s="17"/>
    </row>
    <row r="511" spans="5:5" ht="15.75" thickBot="1" x14ac:dyDescent="0.3">
      <c r="E511" s="17"/>
    </row>
    <row r="512" spans="5:5" ht="15.75" thickBot="1" x14ac:dyDescent="0.3">
      <c r="E512" s="17"/>
    </row>
    <row r="513" spans="5:5" ht="15.75" thickBot="1" x14ac:dyDescent="0.3">
      <c r="E513" s="17"/>
    </row>
    <row r="514" spans="5:5" ht="15.75" thickBot="1" x14ac:dyDescent="0.3">
      <c r="E514" s="17"/>
    </row>
    <row r="515" spans="5:5" ht="15.75" thickBot="1" x14ac:dyDescent="0.3">
      <c r="E515" s="17"/>
    </row>
    <row r="516" spans="5:5" ht="15.75" thickBot="1" x14ac:dyDescent="0.3">
      <c r="E516" s="17"/>
    </row>
    <row r="517" spans="5:5" ht="15.75" thickBot="1" x14ac:dyDescent="0.3">
      <c r="E517" s="17"/>
    </row>
    <row r="518" spans="5:5" ht="15.75" thickBot="1" x14ac:dyDescent="0.3">
      <c r="E518" s="17"/>
    </row>
    <row r="519" spans="5:5" ht="15.75" thickBot="1" x14ac:dyDescent="0.3">
      <c r="E519" s="17"/>
    </row>
    <row r="520" spans="5:5" ht="15.75" thickBot="1" x14ac:dyDescent="0.3">
      <c r="E520" s="17"/>
    </row>
    <row r="521" spans="5:5" ht="15.75" thickBot="1" x14ac:dyDescent="0.3">
      <c r="E521" s="17"/>
    </row>
    <row r="522" spans="5:5" ht="15.75" thickBot="1" x14ac:dyDescent="0.3">
      <c r="E522" s="17"/>
    </row>
    <row r="523" spans="5:5" ht="15.75" thickBot="1" x14ac:dyDescent="0.3">
      <c r="E523" s="17"/>
    </row>
    <row r="524" spans="5:5" ht="15.75" thickBot="1" x14ac:dyDescent="0.3">
      <c r="E524" s="17"/>
    </row>
    <row r="525" spans="5:5" ht="15.75" thickBot="1" x14ac:dyDescent="0.3">
      <c r="E525" s="17"/>
    </row>
    <row r="526" spans="5:5" ht="15.75" thickBot="1" x14ac:dyDescent="0.3">
      <c r="E526" s="17"/>
    </row>
    <row r="527" spans="5:5" ht="15.75" thickBot="1" x14ac:dyDescent="0.3">
      <c r="E527" s="17"/>
    </row>
    <row r="528" spans="5:5" ht="15.75" thickBot="1" x14ac:dyDescent="0.3">
      <c r="E528" s="17"/>
    </row>
    <row r="529" spans="5:5" ht="15.75" thickBot="1" x14ac:dyDescent="0.3">
      <c r="E529" s="17"/>
    </row>
    <row r="530" spans="5:5" ht="15.75" thickBot="1" x14ac:dyDescent="0.3">
      <c r="E530" s="17"/>
    </row>
    <row r="531" spans="5:5" ht="15.75" thickBot="1" x14ac:dyDescent="0.3">
      <c r="E531" s="17"/>
    </row>
    <row r="532" spans="5:5" ht="15.75" thickBot="1" x14ac:dyDescent="0.3">
      <c r="E532" s="17"/>
    </row>
    <row r="533" spans="5:5" ht="15.75" thickBot="1" x14ac:dyDescent="0.3">
      <c r="E533" s="17"/>
    </row>
    <row r="534" spans="5:5" ht="15.75" thickBot="1" x14ac:dyDescent="0.3">
      <c r="E534" s="17"/>
    </row>
    <row r="535" spans="5:5" ht="15.75" thickBot="1" x14ac:dyDescent="0.3">
      <c r="E535" s="17"/>
    </row>
    <row r="536" spans="5:5" ht="15.75" thickBot="1" x14ac:dyDescent="0.3">
      <c r="E536" s="17"/>
    </row>
    <row r="537" spans="5:5" ht="15.75" thickBot="1" x14ac:dyDescent="0.3">
      <c r="E537" s="17"/>
    </row>
    <row r="538" spans="5:5" ht="15.75" thickBot="1" x14ac:dyDescent="0.3">
      <c r="E538" s="17"/>
    </row>
    <row r="539" spans="5:5" ht="15.75" thickBot="1" x14ac:dyDescent="0.3">
      <c r="E539" s="17"/>
    </row>
    <row r="540" spans="5:5" ht="15.75" thickBot="1" x14ac:dyDescent="0.3">
      <c r="E540" s="17"/>
    </row>
    <row r="541" spans="5:5" ht="15.75" thickBot="1" x14ac:dyDescent="0.3">
      <c r="E541" s="17"/>
    </row>
    <row r="542" spans="5:5" ht="15.75" thickBot="1" x14ac:dyDescent="0.3">
      <c r="E542" s="17"/>
    </row>
    <row r="543" spans="5:5" ht="15.75" thickBot="1" x14ac:dyDescent="0.3">
      <c r="E543" s="17"/>
    </row>
    <row r="544" spans="5:5" ht="15.75" thickBot="1" x14ac:dyDescent="0.3">
      <c r="E544" s="17"/>
    </row>
    <row r="545" spans="5:5" ht="15.75" thickBot="1" x14ac:dyDescent="0.3">
      <c r="E545" s="17"/>
    </row>
    <row r="546" spans="5:5" ht="15.75" thickBot="1" x14ac:dyDescent="0.3">
      <c r="E546" s="17"/>
    </row>
    <row r="547" spans="5:5" ht="15.75" thickBot="1" x14ac:dyDescent="0.3">
      <c r="E547" s="17"/>
    </row>
    <row r="548" spans="5:5" ht="15.75" thickBot="1" x14ac:dyDescent="0.3">
      <c r="E548" s="17"/>
    </row>
    <row r="549" spans="5:5" ht="15.75" thickBot="1" x14ac:dyDescent="0.3">
      <c r="E549" s="17"/>
    </row>
    <row r="550" spans="5:5" ht="15.75" thickBot="1" x14ac:dyDescent="0.3">
      <c r="E550" s="17"/>
    </row>
    <row r="551" spans="5:5" ht="15.75" thickBot="1" x14ac:dyDescent="0.3">
      <c r="E551" s="17"/>
    </row>
    <row r="552" spans="5:5" ht="15.75" thickBot="1" x14ac:dyDescent="0.3">
      <c r="E552" s="17"/>
    </row>
    <row r="553" spans="5:5" ht="15.75" thickBot="1" x14ac:dyDescent="0.3">
      <c r="E553" s="17"/>
    </row>
    <row r="554" spans="5:5" ht="15.75" thickBot="1" x14ac:dyDescent="0.3">
      <c r="E554" s="17"/>
    </row>
    <row r="555" spans="5:5" ht="15.75" thickBot="1" x14ac:dyDescent="0.3">
      <c r="E555" s="17"/>
    </row>
    <row r="556" spans="5:5" ht="15.75" thickBot="1" x14ac:dyDescent="0.3">
      <c r="E556" s="17"/>
    </row>
    <row r="557" spans="5:5" ht="15.75" thickBot="1" x14ac:dyDescent="0.3">
      <c r="E557" s="17"/>
    </row>
    <row r="558" spans="5:5" ht="15.75" thickBot="1" x14ac:dyDescent="0.3">
      <c r="E558" s="17"/>
    </row>
    <row r="559" spans="5:5" ht="15.75" thickBot="1" x14ac:dyDescent="0.3">
      <c r="E559" s="17"/>
    </row>
    <row r="560" spans="5:5" ht="15.75" thickBot="1" x14ac:dyDescent="0.3">
      <c r="E560" s="17"/>
    </row>
    <row r="561" spans="5:5" ht="15.75" thickBot="1" x14ac:dyDescent="0.3">
      <c r="E561" s="17"/>
    </row>
    <row r="562" spans="5:5" ht="15.75" thickBot="1" x14ac:dyDescent="0.3">
      <c r="E562" s="17"/>
    </row>
    <row r="563" spans="5:5" ht="15.75" thickBot="1" x14ac:dyDescent="0.3">
      <c r="E563" s="17"/>
    </row>
    <row r="564" spans="5:5" ht="15.75" thickBot="1" x14ac:dyDescent="0.3">
      <c r="E564" s="17"/>
    </row>
    <row r="565" spans="5:5" ht="15.75" thickBot="1" x14ac:dyDescent="0.3">
      <c r="E565" s="17"/>
    </row>
    <row r="566" spans="5:5" ht="15.75" thickBot="1" x14ac:dyDescent="0.3">
      <c r="E566" s="17"/>
    </row>
    <row r="567" spans="5:5" ht="15.75" thickBot="1" x14ac:dyDescent="0.3">
      <c r="E567" s="17"/>
    </row>
    <row r="568" spans="5:5" ht="15.75" thickBot="1" x14ac:dyDescent="0.3">
      <c r="E568" s="17"/>
    </row>
    <row r="569" spans="5:5" ht="15.75" thickBot="1" x14ac:dyDescent="0.3">
      <c r="E569" s="17"/>
    </row>
    <row r="570" spans="5:5" ht="15.75" thickBot="1" x14ac:dyDescent="0.3">
      <c r="E570" s="17"/>
    </row>
    <row r="571" spans="5:5" ht="15.75" thickBot="1" x14ac:dyDescent="0.3">
      <c r="E571" s="17"/>
    </row>
    <row r="572" spans="5:5" ht="15.75" thickBot="1" x14ac:dyDescent="0.3">
      <c r="E572" s="17"/>
    </row>
    <row r="573" spans="5:5" ht="15.75" thickBot="1" x14ac:dyDescent="0.3">
      <c r="E573" s="17"/>
    </row>
    <row r="574" spans="5:5" ht="15.75" thickBot="1" x14ac:dyDescent="0.3">
      <c r="E574" s="17"/>
    </row>
    <row r="575" spans="5:5" ht="15.75" thickBot="1" x14ac:dyDescent="0.3">
      <c r="E575" s="17"/>
    </row>
    <row r="576" spans="5:5" ht="15.75" thickBot="1" x14ac:dyDescent="0.3">
      <c r="E576" s="17"/>
    </row>
    <row r="577" spans="5:5" ht="15.75" thickBot="1" x14ac:dyDescent="0.3">
      <c r="E577" s="17"/>
    </row>
    <row r="578" spans="5:5" ht="15.75" thickBot="1" x14ac:dyDescent="0.3">
      <c r="E578" s="17"/>
    </row>
    <row r="579" spans="5:5" ht="15.75" thickBot="1" x14ac:dyDescent="0.3">
      <c r="E579" s="17"/>
    </row>
    <row r="580" spans="5:5" ht="15.75" thickBot="1" x14ac:dyDescent="0.3">
      <c r="E580" s="17"/>
    </row>
    <row r="581" spans="5:5" ht="15.75" thickBot="1" x14ac:dyDescent="0.3">
      <c r="E581" s="17"/>
    </row>
    <row r="582" spans="5:5" ht="15.75" thickBot="1" x14ac:dyDescent="0.3">
      <c r="E582" s="17"/>
    </row>
    <row r="583" spans="5:5" ht="15.75" thickBot="1" x14ac:dyDescent="0.3">
      <c r="E583" s="17"/>
    </row>
    <row r="584" spans="5:5" ht="15.75" thickBot="1" x14ac:dyDescent="0.3">
      <c r="E584" s="17"/>
    </row>
    <row r="585" spans="5:5" ht="15.75" thickBot="1" x14ac:dyDescent="0.3">
      <c r="E585" s="17"/>
    </row>
    <row r="586" spans="5:5" ht="15.75" thickBot="1" x14ac:dyDescent="0.3">
      <c r="E586" s="17"/>
    </row>
    <row r="587" spans="5:5" ht="15.75" thickBot="1" x14ac:dyDescent="0.3">
      <c r="E587" s="17"/>
    </row>
    <row r="588" spans="5:5" ht="15.75" thickBot="1" x14ac:dyDescent="0.3">
      <c r="E588" s="17"/>
    </row>
    <row r="589" spans="5:5" ht="15.75" thickBot="1" x14ac:dyDescent="0.3">
      <c r="E589" s="17"/>
    </row>
    <row r="590" spans="5:5" ht="15.75" thickBot="1" x14ac:dyDescent="0.3">
      <c r="E590" s="17"/>
    </row>
    <row r="591" spans="5:5" ht="15.75" thickBot="1" x14ac:dyDescent="0.3">
      <c r="E591" s="17"/>
    </row>
    <row r="592" spans="5:5" ht="15.75" thickBot="1" x14ac:dyDescent="0.3">
      <c r="E592" s="17"/>
    </row>
    <row r="593" spans="5:5" ht="15.75" thickBot="1" x14ac:dyDescent="0.3">
      <c r="E593" s="17"/>
    </row>
    <row r="594" spans="5:5" ht="15.75" thickBot="1" x14ac:dyDescent="0.3">
      <c r="E594" s="17"/>
    </row>
    <row r="595" spans="5:5" ht="15.75" thickBot="1" x14ac:dyDescent="0.3">
      <c r="E595" s="17"/>
    </row>
    <row r="596" spans="5:5" ht="15.75" thickBot="1" x14ac:dyDescent="0.3">
      <c r="E596" s="17"/>
    </row>
    <row r="597" spans="5:5" ht="15.75" thickBot="1" x14ac:dyDescent="0.3">
      <c r="E597" s="17"/>
    </row>
    <row r="598" spans="5:5" ht="15.75" thickBot="1" x14ac:dyDescent="0.3">
      <c r="E598" s="17"/>
    </row>
    <row r="599" spans="5:5" ht="15.75" thickBot="1" x14ac:dyDescent="0.3">
      <c r="E599" s="17"/>
    </row>
    <row r="600" spans="5:5" ht="15.75" thickBot="1" x14ac:dyDescent="0.3">
      <c r="E600" s="17"/>
    </row>
    <row r="601" spans="5:5" ht="15.75" thickBot="1" x14ac:dyDescent="0.3">
      <c r="E601" s="17"/>
    </row>
    <row r="602" spans="5:5" ht="15.75" thickBot="1" x14ac:dyDescent="0.3">
      <c r="E602" s="17"/>
    </row>
    <row r="603" spans="5:5" ht="15.75" thickBot="1" x14ac:dyDescent="0.3">
      <c r="E603" s="17"/>
    </row>
    <row r="604" spans="5:5" ht="15.75" thickBot="1" x14ac:dyDescent="0.3">
      <c r="E604" s="17"/>
    </row>
    <row r="605" spans="5:5" ht="15.75" thickBot="1" x14ac:dyDescent="0.3">
      <c r="E605" s="17"/>
    </row>
    <row r="606" spans="5:5" ht="15.75" thickBot="1" x14ac:dyDescent="0.3">
      <c r="E606" s="17"/>
    </row>
    <row r="607" spans="5:5" ht="15.75" thickBot="1" x14ac:dyDescent="0.3">
      <c r="E607" s="17"/>
    </row>
    <row r="608" spans="5:5" ht="15.75" thickBot="1" x14ac:dyDescent="0.3">
      <c r="E608" s="17"/>
    </row>
    <row r="609" spans="5:5" ht="15.75" thickBot="1" x14ac:dyDescent="0.3">
      <c r="E609" s="17"/>
    </row>
    <row r="610" spans="5:5" ht="15.75" thickBot="1" x14ac:dyDescent="0.3">
      <c r="E610" s="17"/>
    </row>
    <row r="611" spans="5:5" ht="15.75" thickBot="1" x14ac:dyDescent="0.3">
      <c r="E611" s="17"/>
    </row>
    <row r="612" spans="5:5" ht="15.75" thickBot="1" x14ac:dyDescent="0.3">
      <c r="E612" s="17"/>
    </row>
    <row r="613" spans="5:5" ht="15.75" thickBot="1" x14ac:dyDescent="0.3">
      <c r="E613" s="17"/>
    </row>
    <row r="614" spans="5:5" ht="15.75" thickBot="1" x14ac:dyDescent="0.3">
      <c r="E614" s="17"/>
    </row>
    <row r="615" spans="5:5" ht="15.75" thickBot="1" x14ac:dyDescent="0.3">
      <c r="E615" s="17"/>
    </row>
    <row r="616" spans="5:5" ht="15.75" thickBot="1" x14ac:dyDescent="0.3">
      <c r="E616" s="17"/>
    </row>
    <row r="617" spans="5:5" ht="15.75" thickBot="1" x14ac:dyDescent="0.3">
      <c r="E617" s="17"/>
    </row>
    <row r="618" spans="5:5" ht="15.75" thickBot="1" x14ac:dyDescent="0.3">
      <c r="E618" s="17"/>
    </row>
    <row r="619" spans="5:5" ht="15.75" thickBot="1" x14ac:dyDescent="0.3">
      <c r="E619" s="17"/>
    </row>
    <row r="620" spans="5:5" ht="15.75" thickBot="1" x14ac:dyDescent="0.3">
      <c r="E620" s="17"/>
    </row>
    <row r="621" spans="5:5" ht="15.75" thickBot="1" x14ac:dyDescent="0.3">
      <c r="E621" s="17"/>
    </row>
    <row r="622" spans="5:5" ht="15.75" thickBot="1" x14ac:dyDescent="0.3">
      <c r="E622" s="17"/>
    </row>
    <row r="623" spans="5:5" ht="15.75" thickBot="1" x14ac:dyDescent="0.3">
      <c r="E623" s="17"/>
    </row>
    <row r="624" spans="5:5" ht="15.75" thickBot="1" x14ac:dyDescent="0.3">
      <c r="E624" s="17"/>
    </row>
    <row r="625" spans="5:5" ht="15.75" thickBot="1" x14ac:dyDescent="0.3">
      <c r="E625" s="17"/>
    </row>
    <row r="626" spans="5:5" ht="15.75" thickBot="1" x14ac:dyDescent="0.3">
      <c r="E626" s="17"/>
    </row>
    <row r="627" spans="5:5" ht="15.75" thickBot="1" x14ac:dyDescent="0.3">
      <c r="E627" s="17"/>
    </row>
    <row r="628" spans="5:5" ht="15.75" thickBot="1" x14ac:dyDescent="0.3">
      <c r="E628" s="17"/>
    </row>
    <row r="629" spans="5:5" ht="15.75" thickBot="1" x14ac:dyDescent="0.3">
      <c r="E629" s="17"/>
    </row>
    <row r="630" spans="5:5" ht="15.75" thickBot="1" x14ac:dyDescent="0.3">
      <c r="E630" s="17"/>
    </row>
    <row r="631" spans="5:5" ht="15.75" thickBot="1" x14ac:dyDescent="0.3">
      <c r="E631" s="17"/>
    </row>
    <row r="632" spans="5:5" ht="15.75" thickBot="1" x14ac:dyDescent="0.3">
      <c r="E632" s="17"/>
    </row>
    <row r="633" spans="5:5" ht="15.75" thickBot="1" x14ac:dyDescent="0.3">
      <c r="E633" s="17"/>
    </row>
    <row r="634" spans="5:5" ht="15.75" thickBot="1" x14ac:dyDescent="0.3">
      <c r="E634" s="17"/>
    </row>
    <row r="635" spans="5:5" ht="15.75" thickBot="1" x14ac:dyDescent="0.3">
      <c r="E635" s="17"/>
    </row>
    <row r="636" spans="5:5" ht="15.75" thickBot="1" x14ac:dyDescent="0.3">
      <c r="E636" s="17"/>
    </row>
    <row r="637" spans="5:5" ht="15.75" thickBot="1" x14ac:dyDescent="0.3">
      <c r="E637" s="17"/>
    </row>
    <row r="638" spans="5:5" ht="15.75" thickBot="1" x14ac:dyDescent="0.3">
      <c r="E638" s="17"/>
    </row>
    <row r="639" spans="5:5" ht="15.75" thickBot="1" x14ac:dyDescent="0.3">
      <c r="E639" s="17"/>
    </row>
    <row r="640" spans="5:5" ht="15.75" thickBot="1" x14ac:dyDescent="0.3">
      <c r="E640" s="17"/>
    </row>
    <row r="641" spans="5:5" ht="15.75" thickBot="1" x14ac:dyDescent="0.3">
      <c r="E641" s="17"/>
    </row>
    <row r="642" spans="5:5" ht="15.75" thickBot="1" x14ac:dyDescent="0.3">
      <c r="E642" s="17"/>
    </row>
    <row r="643" spans="5:5" ht="15.75" thickBot="1" x14ac:dyDescent="0.3">
      <c r="E643" s="17"/>
    </row>
    <row r="644" spans="5:5" ht="15.75" thickBot="1" x14ac:dyDescent="0.3">
      <c r="E644" s="17"/>
    </row>
    <row r="645" spans="5:5" ht="15.75" thickBot="1" x14ac:dyDescent="0.3">
      <c r="E645" s="17"/>
    </row>
    <row r="646" spans="5:5" ht="15.75" thickBot="1" x14ac:dyDescent="0.3">
      <c r="E646" s="17"/>
    </row>
    <row r="647" spans="5:5" ht="15.75" thickBot="1" x14ac:dyDescent="0.3">
      <c r="E647" s="17"/>
    </row>
    <row r="648" spans="5:5" ht="15.75" thickBot="1" x14ac:dyDescent="0.3">
      <c r="E648" s="17"/>
    </row>
    <row r="649" spans="5:5" ht="15.75" thickBot="1" x14ac:dyDescent="0.3">
      <c r="E649" s="17"/>
    </row>
    <row r="650" spans="5:5" ht="15.75" thickBot="1" x14ac:dyDescent="0.3">
      <c r="E650" s="17"/>
    </row>
    <row r="651" spans="5:5" ht="15.75" thickBot="1" x14ac:dyDescent="0.3">
      <c r="E651" s="17"/>
    </row>
    <row r="652" spans="5:5" ht="15.75" thickBot="1" x14ac:dyDescent="0.3">
      <c r="E652" s="17"/>
    </row>
    <row r="653" spans="5:5" ht="15.75" thickBot="1" x14ac:dyDescent="0.3">
      <c r="E653" s="17"/>
    </row>
    <row r="654" spans="5:5" ht="15.75" thickBot="1" x14ac:dyDescent="0.3">
      <c r="E654" s="17"/>
    </row>
    <row r="655" spans="5:5" ht="15.75" thickBot="1" x14ac:dyDescent="0.3">
      <c r="E655" s="17"/>
    </row>
    <row r="656" spans="5:5" ht="15.75" thickBot="1" x14ac:dyDescent="0.3">
      <c r="E656" s="17"/>
    </row>
    <row r="657" spans="5:5" ht="15.75" thickBot="1" x14ac:dyDescent="0.3">
      <c r="E657" s="17"/>
    </row>
    <row r="658" spans="5:5" ht="15.75" thickBot="1" x14ac:dyDescent="0.3">
      <c r="E658" s="17"/>
    </row>
    <row r="659" spans="5:5" ht="15.75" thickBot="1" x14ac:dyDescent="0.3">
      <c r="E659" s="17"/>
    </row>
    <row r="660" spans="5:5" ht="15.75" thickBot="1" x14ac:dyDescent="0.3">
      <c r="E660" s="17"/>
    </row>
    <row r="661" spans="5:5" ht="15.75" thickBot="1" x14ac:dyDescent="0.3">
      <c r="E661" s="17"/>
    </row>
    <row r="662" spans="5:5" ht="15.75" thickBot="1" x14ac:dyDescent="0.3">
      <c r="E662" s="17"/>
    </row>
    <row r="663" spans="5:5" ht="15.75" thickBot="1" x14ac:dyDescent="0.3">
      <c r="E663" s="17"/>
    </row>
    <row r="664" spans="5:5" ht="15.75" thickBot="1" x14ac:dyDescent="0.3">
      <c r="E664" s="17"/>
    </row>
    <row r="665" spans="5:5" ht="15.75" thickBot="1" x14ac:dyDescent="0.3">
      <c r="E665" s="17"/>
    </row>
    <row r="666" spans="5:5" ht="15.75" thickBot="1" x14ac:dyDescent="0.3">
      <c r="E666" s="17"/>
    </row>
    <row r="667" spans="5:5" ht="15.75" thickBot="1" x14ac:dyDescent="0.3">
      <c r="E667" s="17"/>
    </row>
    <row r="668" spans="5:5" ht="15.75" thickBot="1" x14ac:dyDescent="0.3">
      <c r="E668" s="17"/>
    </row>
    <row r="669" spans="5:5" ht="15.75" thickBot="1" x14ac:dyDescent="0.3">
      <c r="E669" s="17"/>
    </row>
    <row r="670" spans="5:5" ht="15.75" thickBot="1" x14ac:dyDescent="0.3">
      <c r="E670" s="17"/>
    </row>
    <row r="671" spans="5:5" ht="15.75" thickBot="1" x14ac:dyDescent="0.3">
      <c r="E671" s="17"/>
    </row>
    <row r="672" spans="5:5" ht="15.75" thickBot="1" x14ac:dyDescent="0.3">
      <c r="E672" s="17"/>
    </row>
    <row r="673" spans="5:5" ht="15.75" thickBot="1" x14ac:dyDescent="0.3">
      <c r="E673" s="17"/>
    </row>
    <row r="674" spans="5:5" ht="15.75" thickBot="1" x14ac:dyDescent="0.3">
      <c r="E674" s="17"/>
    </row>
    <row r="675" spans="5:5" ht="15.75" thickBot="1" x14ac:dyDescent="0.3">
      <c r="E675" s="17"/>
    </row>
    <row r="676" spans="5:5" ht="15.75" thickBot="1" x14ac:dyDescent="0.3">
      <c r="E676" s="17"/>
    </row>
    <row r="677" spans="5:5" ht="15.75" thickBot="1" x14ac:dyDescent="0.3">
      <c r="E677" s="17"/>
    </row>
    <row r="678" spans="5:5" ht="15.75" thickBot="1" x14ac:dyDescent="0.3">
      <c r="E678" s="17"/>
    </row>
    <row r="679" spans="5:5" ht="15.75" thickBot="1" x14ac:dyDescent="0.3">
      <c r="E679" s="17"/>
    </row>
    <row r="680" spans="5:5" ht="15.75" thickBot="1" x14ac:dyDescent="0.3">
      <c r="E680" s="17"/>
    </row>
    <row r="681" spans="5:5" ht="15.75" thickBot="1" x14ac:dyDescent="0.3">
      <c r="E681" s="17"/>
    </row>
    <row r="682" spans="5:5" ht="15.75" thickBot="1" x14ac:dyDescent="0.3">
      <c r="E682" s="17"/>
    </row>
    <row r="683" spans="5:5" ht="15.75" thickBot="1" x14ac:dyDescent="0.3">
      <c r="E683" s="17"/>
    </row>
    <row r="684" spans="5:5" ht="15.75" thickBot="1" x14ac:dyDescent="0.3">
      <c r="E684" s="17"/>
    </row>
    <row r="685" spans="5:5" ht="15.75" thickBot="1" x14ac:dyDescent="0.3">
      <c r="E685" s="17"/>
    </row>
    <row r="686" spans="5:5" ht="15.75" thickBot="1" x14ac:dyDescent="0.3">
      <c r="E686" s="17"/>
    </row>
    <row r="687" spans="5:5" ht="15.75" thickBot="1" x14ac:dyDescent="0.3">
      <c r="E687" s="17"/>
    </row>
    <row r="688" spans="5:5" ht="15.75" thickBot="1" x14ac:dyDescent="0.3">
      <c r="E688" s="17"/>
    </row>
    <row r="689" spans="5:5" ht="15.75" thickBot="1" x14ac:dyDescent="0.3">
      <c r="E689" s="17"/>
    </row>
    <row r="690" spans="5:5" ht="15.75" thickBot="1" x14ac:dyDescent="0.3">
      <c r="E690" s="17"/>
    </row>
    <row r="691" spans="5:5" ht="15.75" thickBot="1" x14ac:dyDescent="0.3">
      <c r="E691" s="17"/>
    </row>
    <row r="692" spans="5:5" ht="15.75" thickBot="1" x14ac:dyDescent="0.3">
      <c r="E692" s="17"/>
    </row>
    <row r="693" spans="5:5" ht="15.75" thickBot="1" x14ac:dyDescent="0.3">
      <c r="E693" s="17"/>
    </row>
    <row r="694" spans="5:5" ht="15.75" thickBot="1" x14ac:dyDescent="0.3">
      <c r="E694" s="17"/>
    </row>
    <row r="695" spans="5:5" ht="15.75" thickBot="1" x14ac:dyDescent="0.3">
      <c r="E695" s="17"/>
    </row>
    <row r="696" spans="5:5" ht="15.75" thickBot="1" x14ac:dyDescent="0.3">
      <c r="E696" s="17"/>
    </row>
    <row r="697" spans="5:5" ht="15.75" thickBot="1" x14ac:dyDescent="0.3">
      <c r="E697" s="17"/>
    </row>
    <row r="698" spans="5:5" ht="15.75" thickBot="1" x14ac:dyDescent="0.3">
      <c r="E698" s="17"/>
    </row>
    <row r="699" spans="5:5" ht="15.75" thickBot="1" x14ac:dyDescent="0.3">
      <c r="E699" s="17"/>
    </row>
    <row r="700" spans="5:5" ht="15.75" thickBot="1" x14ac:dyDescent="0.3">
      <c r="E700" s="17"/>
    </row>
    <row r="701" spans="5:5" ht="15.75" thickBot="1" x14ac:dyDescent="0.3">
      <c r="E701" s="17"/>
    </row>
    <row r="702" spans="5:5" ht="15.75" thickBot="1" x14ac:dyDescent="0.3">
      <c r="E702" s="17"/>
    </row>
    <row r="703" spans="5:5" ht="15.75" thickBot="1" x14ac:dyDescent="0.3">
      <c r="E703" s="17"/>
    </row>
    <row r="704" spans="5:5" ht="15.75" thickBot="1" x14ac:dyDescent="0.3">
      <c r="E704" s="17"/>
    </row>
    <row r="705" spans="5:5" ht="15.75" thickBot="1" x14ac:dyDescent="0.3">
      <c r="E705" s="17"/>
    </row>
    <row r="706" spans="5:5" ht="15.75" thickBot="1" x14ac:dyDescent="0.3">
      <c r="E706" s="17"/>
    </row>
    <row r="707" spans="5:5" ht="15.75" thickBot="1" x14ac:dyDescent="0.3">
      <c r="E707" s="17"/>
    </row>
    <row r="708" spans="5:5" ht="15.75" thickBot="1" x14ac:dyDescent="0.3">
      <c r="E708" s="17"/>
    </row>
    <row r="709" spans="5:5" ht="15.75" thickBot="1" x14ac:dyDescent="0.3">
      <c r="E709" s="17"/>
    </row>
    <row r="710" spans="5:5" ht="15.75" thickBot="1" x14ac:dyDescent="0.3">
      <c r="E710" s="17"/>
    </row>
    <row r="711" spans="5:5" ht="15.75" thickBot="1" x14ac:dyDescent="0.3">
      <c r="E711" s="17"/>
    </row>
    <row r="712" spans="5:5" ht="15.75" thickBot="1" x14ac:dyDescent="0.3">
      <c r="E712" s="17"/>
    </row>
    <row r="713" spans="5:5" ht="15.75" thickBot="1" x14ac:dyDescent="0.3">
      <c r="E713" s="17"/>
    </row>
    <row r="714" spans="5:5" ht="15.75" thickBot="1" x14ac:dyDescent="0.3">
      <c r="E714" s="17"/>
    </row>
    <row r="715" spans="5:5" ht="15.75" thickBot="1" x14ac:dyDescent="0.3">
      <c r="E715" s="17"/>
    </row>
    <row r="716" spans="5:5" ht="15.75" thickBot="1" x14ac:dyDescent="0.3">
      <c r="E716" s="17"/>
    </row>
    <row r="717" spans="5:5" ht="15.75" thickBot="1" x14ac:dyDescent="0.3">
      <c r="E717" s="17"/>
    </row>
    <row r="718" spans="5:5" ht="15.75" thickBot="1" x14ac:dyDescent="0.3">
      <c r="E718" s="17"/>
    </row>
    <row r="719" spans="5:5" ht="15.75" thickBot="1" x14ac:dyDescent="0.3">
      <c r="E719" s="17"/>
    </row>
    <row r="720" spans="5:5" ht="15.75" thickBot="1" x14ac:dyDescent="0.3">
      <c r="E720" s="17"/>
    </row>
    <row r="721" spans="5:5" ht="15.75" thickBot="1" x14ac:dyDescent="0.3">
      <c r="E721" s="17"/>
    </row>
    <row r="722" spans="5:5" ht="15.75" thickBot="1" x14ac:dyDescent="0.3">
      <c r="E722" s="17"/>
    </row>
    <row r="723" spans="5:5" ht="15.75" thickBot="1" x14ac:dyDescent="0.3">
      <c r="E723" s="17"/>
    </row>
    <row r="724" spans="5:5" ht="15.75" thickBot="1" x14ac:dyDescent="0.3">
      <c r="E724" s="17"/>
    </row>
    <row r="725" spans="5:5" ht="15.75" thickBot="1" x14ac:dyDescent="0.3">
      <c r="E725" s="17"/>
    </row>
    <row r="726" spans="5:5" ht="15.75" thickBot="1" x14ac:dyDescent="0.3">
      <c r="E726" s="17"/>
    </row>
    <row r="727" spans="5:5" ht="15.75" thickBot="1" x14ac:dyDescent="0.3">
      <c r="E727" s="17"/>
    </row>
    <row r="728" spans="5:5" ht="15.75" thickBot="1" x14ac:dyDescent="0.3">
      <c r="E728" s="17"/>
    </row>
    <row r="729" spans="5:5" ht="15.75" thickBot="1" x14ac:dyDescent="0.3">
      <c r="E729" s="17"/>
    </row>
    <row r="730" spans="5:5" ht="15.75" thickBot="1" x14ac:dyDescent="0.3">
      <c r="E730" s="17"/>
    </row>
    <row r="731" spans="5:5" ht="15.75" thickBot="1" x14ac:dyDescent="0.3">
      <c r="E731" s="17"/>
    </row>
    <row r="732" spans="5:5" ht="15.75" thickBot="1" x14ac:dyDescent="0.3">
      <c r="E732" s="17"/>
    </row>
    <row r="733" spans="5:5" ht="15.75" thickBot="1" x14ac:dyDescent="0.3">
      <c r="E733" s="17"/>
    </row>
    <row r="734" spans="5:5" ht="15.75" thickBot="1" x14ac:dyDescent="0.3">
      <c r="E734" s="17"/>
    </row>
    <row r="735" spans="5:5" ht="15.75" thickBot="1" x14ac:dyDescent="0.3">
      <c r="E735" s="17"/>
    </row>
    <row r="736" spans="5:5" ht="15.75" thickBot="1" x14ac:dyDescent="0.3">
      <c r="E736" s="17"/>
    </row>
    <row r="737" spans="5:5" ht="15.75" thickBot="1" x14ac:dyDescent="0.3">
      <c r="E737" s="17"/>
    </row>
    <row r="738" spans="5:5" ht="15.75" thickBot="1" x14ac:dyDescent="0.3">
      <c r="E738" s="17"/>
    </row>
    <row r="739" spans="5:5" ht="15.75" thickBot="1" x14ac:dyDescent="0.3">
      <c r="E739" s="17"/>
    </row>
    <row r="740" spans="5:5" ht="15.75" thickBot="1" x14ac:dyDescent="0.3">
      <c r="E740" s="17"/>
    </row>
    <row r="741" spans="5:5" ht="15.75" thickBot="1" x14ac:dyDescent="0.3">
      <c r="E741" s="17"/>
    </row>
    <row r="742" spans="5:5" ht="15.75" thickBot="1" x14ac:dyDescent="0.3">
      <c r="E742" s="17"/>
    </row>
    <row r="743" spans="5:5" ht="15.75" thickBot="1" x14ac:dyDescent="0.3">
      <c r="E743" s="17"/>
    </row>
    <row r="744" spans="5:5" ht="15.75" thickBot="1" x14ac:dyDescent="0.3">
      <c r="E744" s="17"/>
    </row>
    <row r="745" spans="5:5" ht="15.75" thickBot="1" x14ac:dyDescent="0.3">
      <c r="E745" s="17"/>
    </row>
    <row r="746" spans="5:5" ht="15.75" thickBot="1" x14ac:dyDescent="0.3">
      <c r="E746" s="17"/>
    </row>
    <row r="747" spans="5:5" ht="15.75" thickBot="1" x14ac:dyDescent="0.3">
      <c r="E747" s="17"/>
    </row>
    <row r="748" spans="5:5" ht="15.75" thickBot="1" x14ac:dyDescent="0.3">
      <c r="E748" s="17"/>
    </row>
    <row r="749" spans="5:5" ht="15.75" thickBot="1" x14ac:dyDescent="0.3">
      <c r="E749" s="17"/>
    </row>
    <row r="750" spans="5:5" ht="15.75" thickBot="1" x14ac:dyDescent="0.3">
      <c r="E750" s="17"/>
    </row>
    <row r="751" spans="5:5" ht="15.75" thickBot="1" x14ac:dyDescent="0.3">
      <c r="E751" s="17"/>
    </row>
    <row r="752" spans="5:5" ht="15.75" thickBot="1" x14ac:dyDescent="0.3">
      <c r="E752" s="17"/>
    </row>
    <row r="753" spans="5:5" ht="15.75" thickBot="1" x14ac:dyDescent="0.3">
      <c r="E753" s="17"/>
    </row>
    <row r="754" spans="5:5" ht="15.75" thickBot="1" x14ac:dyDescent="0.3">
      <c r="E754" s="17"/>
    </row>
    <row r="755" spans="5:5" ht="15.75" thickBot="1" x14ac:dyDescent="0.3">
      <c r="E755" s="17"/>
    </row>
    <row r="756" spans="5:5" ht="15.75" thickBot="1" x14ac:dyDescent="0.3">
      <c r="E756" s="17"/>
    </row>
    <row r="757" spans="5:5" ht="15.75" thickBot="1" x14ac:dyDescent="0.3">
      <c r="E757" s="17"/>
    </row>
    <row r="758" spans="5:5" ht="15.75" thickBot="1" x14ac:dyDescent="0.3">
      <c r="E758" s="17"/>
    </row>
    <row r="759" spans="5:5" ht="15.75" thickBot="1" x14ac:dyDescent="0.3">
      <c r="E759" s="17"/>
    </row>
    <row r="760" spans="5:5" ht="15.75" thickBot="1" x14ac:dyDescent="0.3">
      <c r="E760" s="17"/>
    </row>
    <row r="761" spans="5:5" ht="15.75" thickBot="1" x14ac:dyDescent="0.3">
      <c r="E761" s="17"/>
    </row>
    <row r="762" spans="5:5" ht="15.75" thickBot="1" x14ac:dyDescent="0.3">
      <c r="E762" s="17"/>
    </row>
    <row r="763" spans="5:5" ht="15.75" thickBot="1" x14ac:dyDescent="0.3">
      <c r="E763" s="17"/>
    </row>
    <row r="764" spans="5:5" ht="15.75" thickBot="1" x14ac:dyDescent="0.3">
      <c r="E764" s="17"/>
    </row>
    <row r="765" spans="5:5" ht="15.75" thickBot="1" x14ac:dyDescent="0.3">
      <c r="E765" s="17"/>
    </row>
    <row r="766" spans="5:5" ht="15.75" thickBot="1" x14ac:dyDescent="0.3">
      <c r="E766" s="17"/>
    </row>
    <row r="767" spans="5:5" ht="15.75" thickBot="1" x14ac:dyDescent="0.3">
      <c r="E767" s="17"/>
    </row>
    <row r="768" spans="5:5" ht="15.75" thickBot="1" x14ac:dyDescent="0.3">
      <c r="E768" s="17"/>
    </row>
    <row r="769" spans="5:5" ht="15.75" thickBot="1" x14ac:dyDescent="0.3">
      <c r="E769" s="17"/>
    </row>
    <row r="770" spans="5:5" ht="15.75" thickBot="1" x14ac:dyDescent="0.3">
      <c r="E770" s="17"/>
    </row>
    <row r="771" spans="5:5" ht="15.75" thickBot="1" x14ac:dyDescent="0.3">
      <c r="E771" s="17"/>
    </row>
    <row r="772" spans="5:5" ht="15.75" thickBot="1" x14ac:dyDescent="0.3">
      <c r="E772" s="17"/>
    </row>
    <row r="773" spans="5:5" ht="15.75" thickBot="1" x14ac:dyDescent="0.3">
      <c r="E773" s="17"/>
    </row>
    <row r="774" spans="5:5" ht="15.75" thickBot="1" x14ac:dyDescent="0.3">
      <c r="E774" s="17"/>
    </row>
    <row r="775" spans="5:5" ht="15.75" thickBot="1" x14ac:dyDescent="0.3">
      <c r="E775" s="17"/>
    </row>
    <row r="776" spans="5:5" ht="15.75" thickBot="1" x14ac:dyDescent="0.3">
      <c r="E776" s="17"/>
    </row>
    <row r="777" spans="5:5" ht="15.75" thickBot="1" x14ac:dyDescent="0.3">
      <c r="E777" s="17"/>
    </row>
    <row r="778" spans="5:5" ht="15.75" thickBot="1" x14ac:dyDescent="0.3">
      <c r="E778" s="17"/>
    </row>
    <row r="779" spans="5:5" ht="15.75" thickBot="1" x14ac:dyDescent="0.3">
      <c r="E779" s="17"/>
    </row>
    <row r="780" spans="5:5" ht="15.75" thickBot="1" x14ac:dyDescent="0.3">
      <c r="E780" s="17"/>
    </row>
    <row r="781" spans="5:5" ht="15.75" thickBot="1" x14ac:dyDescent="0.3">
      <c r="E781" s="17"/>
    </row>
    <row r="782" spans="5:5" ht="15.75" thickBot="1" x14ac:dyDescent="0.3">
      <c r="E782" s="17"/>
    </row>
    <row r="783" spans="5:5" ht="15.75" thickBot="1" x14ac:dyDescent="0.3">
      <c r="E783" s="17"/>
    </row>
    <row r="784" spans="5:5" ht="15.75" thickBot="1" x14ac:dyDescent="0.3">
      <c r="E784" s="17"/>
    </row>
    <row r="785" spans="5:5" ht="15.75" thickBot="1" x14ac:dyDescent="0.3">
      <c r="E785" s="17"/>
    </row>
    <row r="786" spans="5:5" ht="15.75" thickBot="1" x14ac:dyDescent="0.3">
      <c r="E786" s="17"/>
    </row>
    <row r="787" spans="5:5" ht="15.75" thickBot="1" x14ac:dyDescent="0.3">
      <c r="E787" s="17"/>
    </row>
    <row r="788" spans="5:5" ht="15.75" thickBot="1" x14ac:dyDescent="0.3">
      <c r="E788" s="17"/>
    </row>
    <row r="789" spans="5:5" ht="15.75" thickBot="1" x14ac:dyDescent="0.3">
      <c r="E789" s="17"/>
    </row>
    <row r="790" spans="5:5" ht="15.75" thickBot="1" x14ac:dyDescent="0.3">
      <c r="E790" s="17"/>
    </row>
    <row r="791" spans="5:5" ht="15.75" thickBot="1" x14ac:dyDescent="0.3">
      <c r="E791" s="17"/>
    </row>
    <row r="792" spans="5:5" ht="15.75" thickBot="1" x14ac:dyDescent="0.3">
      <c r="E792" s="17"/>
    </row>
    <row r="793" spans="5:5" ht="15.75" thickBot="1" x14ac:dyDescent="0.3">
      <c r="E793" s="17"/>
    </row>
    <row r="794" spans="5:5" ht="15.75" thickBot="1" x14ac:dyDescent="0.3">
      <c r="E794" s="17"/>
    </row>
    <row r="795" spans="5:5" ht="15.75" thickBot="1" x14ac:dyDescent="0.3">
      <c r="E795" s="17"/>
    </row>
    <row r="796" spans="5:5" ht="15.75" thickBot="1" x14ac:dyDescent="0.3">
      <c r="E796" s="17"/>
    </row>
    <row r="797" spans="5:5" ht="15.75" thickBot="1" x14ac:dyDescent="0.3">
      <c r="E797" s="17"/>
    </row>
    <row r="798" spans="5:5" ht="15.75" thickBot="1" x14ac:dyDescent="0.3">
      <c r="E798" s="17"/>
    </row>
    <row r="799" spans="5:5" ht="15.75" thickBot="1" x14ac:dyDescent="0.3">
      <c r="E799" s="17"/>
    </row>
    <row r="800" spans="5:5" ht="15.75" thickBot="1" x14ac:dyDescent="0.3">
      <c r="E800" s="17"/>
    </row>
    <row r="801" spans="5:5" ht="15.75" thickBot="1" x14ac:dyDescent="0.3">
      <c r="E801" s="17"/>
    </row>
    <row r="802" spans="5:5" ht="15.75" thickBot="1" x14ac:dyDescent="0.3">
      <c r="E802" s="17"/>
    </row>
    <row r="803" spans="5:5" ht="15.75" thickBot="1" x14ac:dyDescent="0.3">
      <c r="E803" s="17"/>
    </row>
    <row r="804" spans="5:5" ht="15.75" thickBot="1" x14ac:dyDescent="0.3">
      <c r="E804" s="17"/>
    </row>
    <row r="805" spans="5:5" ht="15.75" thickBot="1" x14ac:dyDescent="0.3">
      <c r="E805" s="17"/>
    </row>
    <row r="806" spans="5:5" ht="15.75" thickBot="1" x14ac:dyDescent="0.3">
      <c r="E806" s="17"/>
    </row>
    <row r="807" spans="5:5" ht="15.75" thickBot="1" x14ac:dyDescent="0.3">
      <c r="E807" s="17"/>
    </row>
    <row r="808" spans="5:5" ht="15.75" thickBot="1" x14ac:dyDescent="0.3">
      <c r="E808" s="17"/>
    </row>
    <row r="809" spans="5:5" ht="15.75" thickBot="1" x14ac:dyDescent="0.3">
      <c r="E809" s="17"/>
    </row>
    <row r="810" spans="5:5" ht="15.75" thickBot="1" x14ac:dyDescent="0.3">
      <c r="E810" s="17"/>
    </row>
    <row r="811" spans="5:5" ht="15.75" thickBot="1" x14ac:dyDescent="0.3">
      <c r="E811" s="17"/>
    </row>
    <row r="812" spans="5:5" ht="15.75" thickBot="1" x14ac:dyDescent="0.3">
      <c r="E812" s="17"/>
    </row>
    <row r="813" spans="5:5" ht="15.75" thickBot="1" x14ac:dyDescent="0.3">
      <c r="E813" s="17"/>
    </row>
    <row r="814" spans="5:5" ht="15.75" thickBot="1" x14ac:dyDescent="0.3">
      <c r="E814" s="17"/>
    </row>
    <row r="815" spans="5:5" ht="15.75" thickBot="1" x14ac:dyDescent="0.3">
      <c r="E815" s="17"/>
    </row>
    <row r="816" spans="5:5" ht="15.75" thickBot="1" x14ac:dyDescent="0.3">
      <c r="E816" s="17"/>
    </row>
    <row r="817" spans="5:5" ht="15.75" thickBot="1" x14ac:dyDescent="0.3">
      <c r="E817" s="17"/>
    </row>
    <row r="818" spans="5:5" ht="15.75" thickBot="1" x14ac:dyDescent="0.3">
      <c r="E818" s="17"/>
    </row>
    <row r="819" spans="5:5" ht="15.75" thickBot="1" x14ac:dyDescent="0.3">
      <c r="E819" s="17"/>
    </row>
    <row r="820" spans="5:5" ht="15.75" thickBot="1" x14ac:dyDescent="0.3">
      <c r="E820" s="17"/>
    </row>
    <row r="821" spans="5:5" ht="15.75" thickBot="1" x14ac:dyDescent="0.3">
      <c r="E821" s="17"/>
    </row>
    <row r="822" spans="5:5" ht="15.75" thickBot="1" x14ac:dyDescent="0.3">
      <c r="E822" s="17"/>
    </row>
    <row r="823" spans="5:5" ht="15.75" thickBot="1" x14ac:dyDescent="0.3">
      <c r="E823" s="17"/>
    </row>
    <row r="824" spans="5:5" ht="15.75" thickBot="1" x14ac:dyDescent="0.3">
      <c r="E824" s="17"/>
    </row>
    <row r="825" spans="5:5" ht="15.75" thickBot="1" x14ac:dyDescent="0.3">
      <c r="E825" s="17"/>
    </row>
    <row r="826" spans="5:5" ht="15.75" thickBot="1" x14ac:dyDescent="0.3">
      <c r="E826" s="17"/>
    </row>
    <row r="827" spans="5:5" ht="15.75" thickBot="1" x14ac:dyDescent="0.3">
      <c r="E827" s="17"/>
    </row>
    <row r="828" spans="5:5" ht="15.75" thickBot="1" x14ac:dyDescent="0.3">
      <c r="E828" s="17"/>
    </row>
    <row r="829" spans="5:5" ht="15.75" thickBot="1" x14ac:dyDescent="0.3">
      <c r="E829" s="17"/>
    </row>
    <row r="830" spans="5:5" ht="15.75" thickBot="1" x14ac:dyDescent="0.3">
      <c r="E830" s="17"/>
    </row>
    <row r="831" spans="5:5" ht="15.75" thickBot="1" x14ac:dyDescent="0.3">
      <c r="E831" s="17"/>
    </row>
    <row r="832" spans="5:5" ht="15.75" thickBot="1" x14ac:dyDescent="0.3">
      <c r="E832" s="17"/>
    </row>
    <row r="833" spans="5:5" ht="15.75" thickBot="1" x14ac:dyDescent="0.3">
      <c r="E833" s="17"/>
    </row>
    <row r="834" spans="5:5" ht="15.75" thickBot="1" x14ac:dyDescent="0.3">
      <c r="E834" s="17"/>
    </row>
    <row r="835" spans="5:5" ht="15.75" thickBot="1" x14ac:dyDescent="0.3">
      <c r="E835" s="17"/>
    </row>
    <row r="836" spans="5:5" ht="15.75" thickBot="1" x14ac:dyDescent="0.3">
      <c r="E836" s="17"/>
    </row>
    <row r="837" spans="5:5" ht="15.75" thickBot="1" x14ac:dyDescent="0.3">
      <c r="E837" s="17"/>
    </row>
    <row r="838" spans="5:5" ht="15.75" thickBot="1" x14ac:dyDescent="0.3">
      <c r="E838" s="17"/>
    </row>
    <row r="839" spans="5:5" ht="15.75" thickBot="1" x14ac:dyDescent="0.3">
      <c r="E839" s="17"/>
    </row>
    <row r="840" spans="5:5" ht="15.75" thickBot="1" x14ac:dyDescent="0.3">
      <c r="E840" s="17"/>
    </row>
    <row r="841" spans="5:5" ht="15.75" thickBot="1" x14ac:dyDescent="0.3">
      <c r="E841" s="17"/>
    </row>
    <row r="842" spans="5:5" ht="15.75" thickBot="1" x14ac:dyDescent="0.3">
      <c r="E842" s="17"/>
    </row>
    <row r="843" spans="5:5" ht="15.75" thickBot="1" x14ac:dyDescent="0.3">
      <c r="E843" s="17"/>
    </row>
    <row r="844" spans="5:5" ht="15.75" thickBot="1" x14ac:dyDescent="0.3">
      <c r="E844" s="17"/>
    </row>
    <row r="845" spans="5:5" ht="15.75" thickBot="1" x14ac:dyDescent="0.3">
      <c r="E845" s="17"/>
    </row>
    <row r="846" spans="5:5" ht="15.75" thickBot="1" x14ac:dyDescent="0.3">
      <c r="E846" s="17"/>
    </row>
    <row r="847" spans="5:5" ht="15.75" thickBot="1" x14ac:dyDescent="0.3">
      <c r="E847" s="17"/>
    </row>
    <row r="848" spans="5:5" ht="15.75" thickBot="1" x14ac:dyDescent="0.3">
      <c r="E848" s="17"/>
    </row>
    <row r="849" spans="5:5" ht="15.75" thickBot="1" x14ac:dyDescent="0.3">
      <c r="E849" s="17"/>
    </row>
    <row r="850" spans="5:5" ht="15.75" thickBot="1" x14ac:dyDescent="0.3">
      <c r="E850" s="17"/>
    </row>
    <row r="851" spans="5:5" ht="15.75" thickBot="1" x14ac:dyDescent="0.3">
      <c r="E851" s="17"/>
    </row>
    <row r="852" spans="5:5" ht="15.75" thickBot="1" x14ac:dyDescent="0.3">
      <c r="E852" s="17"/>
    </row>
    <row r="853" spans="5:5" ht="15.75" thickBot="1" x14ac:dyDescent="0.3">
      <c r="E853" s="17"/>
    </row>
    <row r="854" spans="5:5" ht="15.75" thickBot="1" x14ac:dyDescent="0.3">
      <c r="E854" s="17"/>
    </row>
    <row r="855" spans="5:5" ht="15.75" thickBot="1" x14ac:dyDescent="0.3">
      <c r="E855" s="17"/>
    </row>
    <row r="856" spans="5:5" ht="15.75" thickBot="1" x14ac:dyDescent="0.3">
      <c r="E856" s="17"/>
    </row>
    <row r="857" spans="5:5" ht="15.75" thickBot="1" x14ac:dyDescent="0.3">
      <c r="E857" s="17"/>
    </row>
    <row r="858" spans="5:5" ht="15.75" thickBot="1" x14ac:dyDescent="0.3">
      <c r="E858" s="17"/>
    </row>
    <row r="859" spans="5:5" ht="15.75" thickBot="1" x14ac:dyDescent="0.3">
      <c r="E859" s="17"/>
    </row>
    <row r="860" spans="5:5" ht="15.75" thickBot="1" x14ac:dyDescent="0.3">
      <c r="E860" s="17"/>
    </row>
    <row r="861" spans="5:5" ht="15.75" thickBot="1" x14ac:dyDescent="0.3">
      <c r="E861" s="17"/>
    </row>
    <row r="862" spans="5:5" ht="15.75" thickBot="1" x14ac:dyDescent="0.3">
      <c r="E862" s="17"/>
    </row>
    <row r="863" spans="5:5" ht="15.75" thickBot="1" x14ac:dyDescent="0.3">
      <c r="E863" s="17"/>
    </row>
    <row r="864" spans="5:5" ht="15.75" thickBot="1" x14ac:dyDescent="0.3">
      <c r="E864" s="17"/>
    </row>
    <row r="865" spans="5:5" ht="15.75" thickBot="1" x14ac:dyDescent="0.3">
      <c r="E865" s="17"/>
    </row>
    <row r="866" spans="5:5" ht="15.75" thickBot="1" x14ac:dyDescent="0.3">
      <c r="E866" s="17"/>
    </row>
    <row r="867" spans="5:5" ht="15.75" thickBot="1" x14ac:dyDescent="0.3">
      <c r="E867" s="17"/>
    </row>
    <row r="868" spans="5:5" ht="15.75" thickBot="1" x14ac:dyDescent="0.3">
      <c r="E868" s="17"/>
    </row>
    <row r="869" spans="5:5" ht="15.75" thickBot="1" x14ac:dyDescent="0.3">
      <c r="E869" s="17"/>
    </row>
    <row r="870" spans="5:5" ht="15.75" thickBot="1" x14ac:dyDescent="0.3">
      <c r="E870" s="17"/>
    </row>
    <row r="871" spans="5:5" ht="15.75" thickBot="1" x14ac:dyDescent="0.3">
      <c r="E871" s="17"/>
    </row>
    <row r="872" spans="5:5" ht="15.75" thickBot="1" x14ac:dyDescent="0.3">
      <c r="E872" s="17"/>
    </row>
    <row r="873" spans="5:5" ht="15.75" thickBot="1" x14ac:dyDescent="0.3">
      <c r="E873" s="17"/>
    </row>
    <row r="874" spans="5:5" ht="15.75" thickBot="1" x14ac:dyDescent="0.3">
      <c r="E874" s="17"/>
    </row>
    <row r="875" spans="5:5" ht="15.75" thickBot="1" x14ac:dyDescent="0.3">
      <c r="E875" s="17"/>
    </row>
    <row r="876" spans="5:5" ht="15.75" thickBot="1" x14ac:dyDescent="0.3">
      <c r="E876" s="17"/>
    </row>
    <row r="877" spans="5:5" ht="15.75" thickBot="1" x14ac:dyDescent="0.3">
      <c r="E877" s="17"/>
    </row>
    <row r="878" spans="5:5" ht="15.75" thickBot="1" x14ac:dyDescent="0.3">
      <c r="E878" s="17"/>
    </row>
    <row r="879" spans="5:5" ht="15.75" thickBot="1" x14ac:dyDescent="0.3">
      <c r="E879" s="17"/>
    </row>
    <row r="880" spans="5:5" ht="15.75" thickBot="1" x14ac:dyDescent="0.3">
      <c r="E880" s="17"/>
    </row>
    <row r="881" spans="5:5" ht="15.75" thickBot="1" x14ac:dyDescent="0.3">
      <c r="E881" s="17"/>
    </row>
    <row r="882" spans="5:5" ht="15.75" thickBot="1" x14ac:dyDescent="0.3">
      <c r="E882" s="17"/>
    </row>
    <row r="883" spans="5:5" ht="15.75" thickBot="1" x14ac:dyDescent="0.3">
      <c r="E883" s="17"/>
    </row>
    <row r="884" spans="5:5" ht="15.75" thickBot="1" x14ac:dyDescent="0.3">
      <c r="E884" s="17"/>
    </row>
    <row r="885" spans="5:5" ht="15.75" thickBot="1" x14ac:dyDescent="0.3">
      <c r="E885" s="17"/>
    </row>
    <row r="886" spans="5:5" ht="15.75" thickBot="1" x14ac:dyDescent="0.3">
      <c r="E886" s="17"/>
    </row>
    <row r="887" spans="5:5" ht="15.75" thickBot="1" x14ac:dyDescent="0.3">
      <c r="E887" s="17"/>
    </row>
    <row r="888" spans="5:5" ht="15.75" thickBot="1" x14ac:dyDescent="0.3">
      <c r="E888" s="17"/>
    </row>
    <row r="889" spans="5:5" ht="15.75" thickBot="1" x14ac:dyDescent="0.3">
      <c r="E889" s="17"/>
    </row>
    <row r="890" spans="5:5" ht="15.75" thickBot="1" x14ac:dyDescent="0.3">
      <c r="E890" s="17"/>
    </row>
    <row r="891" spans="5:5" ht="15.75" thickBot="1" x14ac:dyDescent="0.3">
      <c r="E891" s="17"/>
    </row>
    <row r="892" spans="5:5" ht="15.75" thickBot="1" x14ac:dyDescent="0.3">
      <c r="E892" s="17"/>
    </row>
    <row r="893" spans="5:5" ht="15.75" thickBot="1" x14ac:dyDescent="0.3">
      <c r="E893" s="17"/>
    </row>
    <row r="894" spans="5:5" ht="15.75" thickBot="1" x14ac:dyDescent="0.3">
      <c r="E894" s="17"/>
    </row>
    <row r="895" spans="5:5" ht="15.75" thickBot="1" x14ac:dyDescent="0.3">
      <c r="E895" s="17"/>
    </row>
    <row r="896" spans="5:5" ht="15.75" thickBot="1" x14ac:dyDescent="0.3">
      <c r="E896" s="17"/>
    </row>
    <row r="897" spans="5:5" ht="15.75" thickBot="1" x14ac:dyDescent="0.3">
      <c r="E897" s="17"/>
    </row>
    <row r="898" spans="5:5" ht="15.75" thickBot="1" x14ac:dyDescent="0.3">
      <c r="E898" s="17"/>
    </row>
    <row r="899" spans="5:5" ht="15.75" thickBot="1" x14ac:dyDescent="0.3">
      <c r="E899" s="17"/>
    </row>
    <row r="900" spans="5:5" ht="15.75" thickBot="1" x14ac:dyDescent="0.3">
      <c r="E900" s="17"/>
    </row>
    <row r="901" spans="5:5" ht="15.75" thickBot="1" x14ac:dyDescent="0.3">
      <c r="E901" s="17"/>
    </row>
    <row r="902" spans="5:5" ht="15.75" thickBot="1" x14ac:dyDescent="0.3">
      <c r="E902" s="17"/>
    </row>
    <row r="903" spans="5:5" ht="15.75" thickBot="1" x14ac:dyDescent="0.3">
      <c r="E903" s="17"/>
    </row>
    <row r="904" spans="5:5" ht="15.75" thickBot="1" x14ac:dyDescent="0.3">
      <c r="E904" s="17"/>
    </row>
    <row r="905" spans="5:5" ht="15.75" thickBot="1" x14ac:dyDescent="0.3">
      <c r="E905" s="17"/>
    </row>
    <row r="906" spans="5:5" ht="15.75" thickBot="1" x14ac:dyDescent="0.3">
      <c r="E906" s="17"/>
    </row>
    <row r="907" spans="5:5" ht="15.75" thickBot="1" x14ac:dyDescent="0.3">
      <c r="E907" s="17"/>
    </row>
    <row r="908" spans="5:5" ht="15.75" thickBot="1" x14ac:dyDescent="0.3">
      <c r="E908" s="17"/>
    </row>
    <row r="909" spans="5:5" ht="15.75" thickBot="1" x14ac:dyDescent="0.3">
      <c r="E909" s="17"/>
    </row>
    <row r="910" spans="5:5" ht="15.75" thickBot="1" x14ac:dyDescent="0.3">
      <c r="E910" s="17"/>
    </row>
    <row r="911" spans="5:5" ht="15.75" thickBot="1" x14ac:dyDescent="0.3">
      <c r="E911" s="17"/>
    </row>
    <row r="912" spans="5:5" ht="15.75" thickBot="1" x14ac:dyDescent="0.3">
      <c r="E912" s="17"/>
    </row>
    <row r="913" spans="5:5" ht="15.75" thickBot="1" x14ac:dyDescent="0.3">
      <c r="E913" s="17"/>
    </row>
    <row r="914" spans="5:5" ht="15.75" thickBot="1" x14ac:dyDescent="0.3">
      <c r="E914" s="17"/>
    </row>
    <row r="915" spans="5:5" ht="15.75" thickBot="1" x14ac:dyDescent="0.3">
      <c r="E915" s="17"/>
    </row>
    <row r="916" spans="5:5" ht="15.75" thickBot="1" x14ac:dyDescent="0.3">
      <c r="E916" s="17"/>
    </row>
    <row r="917" spans="5:5" ht="15.75" thickBot="1" x14ac:dyDescent="0.3">
      <c r="E917" s="17"/>
    </row>
    <row r="918" spans="5:5" ht="15.75" thickBot="1" x14ac:dyDescent="0.3">
      <c r="E918" s="17"/>
    </row>
    <row r="919" spans="5:5" ht="15.75" thickBot="1" x14ac:dyDescent="0.3">
      <c r="E919" s="17"/>
    </row>
    <row r="920" spans="5:5" ht="15.75" thickBot="1" x14ac:dyDescent="0.3">
      <c r="E920" s="17"/>
    </row>
    <row r="921" spans="5:5" ht="15.75" thickBot="1" x14ac:dyDescent="0.3">
      <c r="E921" s="17"/>
    </row>
    <row r="922" spans="5:5" ht="15.75" thickBot="1" x14ac:dyDescent="0.3">
      <c r="E922" s="17"/>
    </row>
    <row r="923" spans="5:5" ht="15.75" thickBot="1" x14ac:dyDescent="0.3">
      <c r="E923" s="17"/>
    </row>
    <row r="924" spans="5:5" ht="15.75" thickBot="1" x14ac:dyDescent="0.3">
      <c r="E924" s="17"/>
    </row>
    <row r="925" spans="5:5" ht="15.75" thickBot="1" x14ac:dyDescent="0.3">
      <c r="E925" s="17"/>
    </row>
    <row r="926" spans="5:5" ht="15.75" thickBot="1" x14ac:dyDescent="0.3">
      <c r="E926" s="17"/>
    </row>
    <row r="927" spans="5:5" ht="15.75" thickBot="1" x14ac:dyDescent="0.3">
      <c r="E927" s="17"/>
    </row>
    <row r="928" spans="5:5" ht="15.75" thickBot="1" x14ac:dyDescent="0.3">
      <c r="E928" s="17"/>
    </row>
    <row r="929" spans="5:5" ht="15.75" thickBot="1" x14ac:dyDescent="0.3">
      <c r="E929" s="17"/>
    </row>
    <row r="930" spans="5:5" ht="15.75" thickBot="1" x14ac:dyDescent="0.3">
      <c r="E930" s="17"/>
    </row>
    <row r="931" spans="5:5" ht="15.75" thickBot="1" x14ac:dyDescent="0.3">
      <c r="E931" s="17"/>
    </row>
    <row r="932" spans="5:5" ht="15.75" thickBot="1" x14ac:dyDescent="0.3">
      <c r="E932" s="17"/>
    </row>
    <row r="933" spans="5:5" ht="15.75" thickBot="1" x14ac:dyDescent="0.3">
      <c r="E933" s="17"/>
    </row>
    <row r="934" spans="5:5" ht="15.75" thickBot="1" x14ac:dyDescent="0.3">
      <c r="E934" s="17"/>
    </row>
    <row r="935" spans="5:5" ht="15.75" thickBot="1" x14ac:dyDescent="0.3">
      <c r="E935" s="17"/>
    </row>
    <row r="936" spans="5:5" ht="15.75" thickBot="1" x14ac:dyDescent="0.3">
      <c r="E936" s="17"/>
    </row>
    <row r="937" spans="5:5" ht="15.75" thickBot="1" x14ac:dyDescent="0.3">
      <c r="E937" s="17"/>
    </row>
    <row r="938" spans="5:5" ht="15.75" thickBot="1" x14ac:dyDescent="0.3">
      <c r="E938" s="17"/>
    </row>
    <row r="939" spans="5:5" ht="15.75" thickBot="1" x14ac:dyDescent="0.3">
      <c r="E939" s="17"/>
    </row>
    <row r="940" spans="5:5" ht="15.75" thickBot="1" x14ac:dyDescent="0.3">
      <c r="E940" s="17"/>
    </row>
    <row r="941" spans="5:5" ht="15.75" thickBot="1" x14ac:dyDescent="0.3">
      <c r="E941" s="17"/>
    </row>
    <row r="942" spans="5:5" ht="15.75" thickBot="1" x14ac:dyDescent="0.3">
      <c r="E942" s="17"/>
    </row>
    <row r="943" spans="5:5" ht="15.75" thickBot="1" x14ac:dyDescent="0.3">
      <c r="E943" s="17"/>
    </row>
    <row r="944" spans="5:5" ht="15.75" thickBot="1" x14ac:dyDescent="0.3">
      <c r="E944" s="17"/>
    </row>
    <row r="945" spans="5:5" ht="15.75" thickBot="1" x14ac:dyDescent="0.3">
      <c r="E945" s="17"/>
    </row>
    <row r="946" spans="5:5" ht="15.75" thickBot="1" x14ac:dyDescent="0.3">
      <c r="E946" s="17"/>
    </row>
    <row r="947" spans="5:5" ht="15.75" thickBot="1" x14ac:dyDescent="0.3">
      <c r="E947" s="17"/>
    </row>
    <row r="948" spans="5:5" ht="15.75" thickBot="1" x14ac:dyDescent="0.3">
      <c r="E948" s="17"/>
    </row>
    <row r="949" spans="5:5" ht="15.75" thickBot="1" x14ac:dyDescent="0.3">
      <c r="E949" s="17"/>
    </row>
    <row r="950" spans="5:5" ht="15.75" thickBot="1" x14ac:dyDescent="0.3">
      <c r="E950" s="17"/>
    </row>
    <row r="951" spans="5:5" ht="15.75" thickBot="1" x14ac:dyDescent="0.3">
      <c r="E951" s="17"/>
    </row>
    <row r="952" spans="5:5" ht="15.75" thickBot="1" x14ac:dyDescent="0.3">
      <c r="E952" s="17"/>
    </row>
    <row r="953" spans="5:5" ht="15.75" thickBot="1" x14ac:dyDescent="0.3">
      <c r="E953" s="17"/>
    </row>
    <row r="954" spans="5:5" ht="15.75" thickBot="1" x14ac:dyDescent="0.3">
      <c r="E954" s="17"/>
    </row>
    <row r="955" spans="5:5" ht="15.75" thickBot="1" x14ac:dyDescent="0.3">
      <c r="E955" s="17"/>
    </row>
    <row r="956" spans="5:5" ht="15.75" thickBot="1" x14ac:dyDescent="0.3">
      <c r="E956" s="17"/>
    </row>
    <row r="957" spans="5:5" ht="15.75" thickBot="1" x14ac:dyDescent="0.3">
      <c r="E957" s="17"/>
    </row>
    <row r="958" spans="5:5" ht="15.75" thickBot="1" x14ac:dyDescent="0.3">
      <c r="E958" s="17"/>
    </row>
    <row r="959" spans="5:5" ht="15.75" thickBot="1" x14ac:dyDescent="0.3">
      <c r="E959" s="17"/>
    </row>
    <row r="960" spans="5:5" ht="15.75" thickBot="1" x14ac:dyDescent="0.3">
      <c r="E960" s="17"/>
    </row>
    <row r="961" spans="5:5" ht="15.75" thickBot="1" x14ac:dyDescent="0.3">
      <c r="E961" s="17"/>
    </row>
    <row r="962" spans="5:5" ht="15.75" thickBot="1" x14ac:dyDescent="0.3">
      <c r="E962" s="17"/>
    </row>
    <row r="963" spans="5:5" ht="15.75" thickBot="1" x14ac:dyDescent="0.3">
      <c r="E963" s="17"/>
    </row>
    <row r="964" spans="5:5" ht="15.75" thickBot="1" x14ac:dyDescent="0.3">
      <c r="E964" s="17"/>
    </row>
    <row r="965" spans="5:5" ht="15.75" thickBot="1" x14ac:dyDescent="0.3">
      <c r="E965" s="17"/>
    </row>
    <row r="966" spans="5:5" ht="15.75" thickBot="1" x14ac:dyDescent="0.3">
      <c r="E966" s="17"/>
    </row>
    <row r="967" spans="5:5" ht="15.75" thickBot="1" x14ac:dyDescent="0.3">
      <c r="E967" s="17"/>
    </row>
    <row r="968" spans="5:5" ht="15.75" thickBot="1" x14ac:dyDescent="0.3">
      <c r="E968" s="17"/>
    </row>
    <row r="969" spans="5:5" ht="15.75" thickBot="1" x14ac:dyDescent="0.3">
      <c r="E969" s="17"/>
    </row>
    <row r="970" spans="5:5" ht="15.75" thickBot="1" x14ac:dyDescent="0.3">
      <c r="E970" s="17"/>
    </row>
    <row r="971" spans="5:5" ht="15.75" thickBot="1" x14ac:dyDescent="0.3">
      <c r="E971" s="17"/>
    </row>
    <row r="972" spans="5:5" ht="15.75" thickBot="1" x14ac:dyDescent="0.3">
      <c r="E972" s="17"/>
    </row>
    <row r="973" spans="5:5" ht="15.75" thickBot="1" x14ac:dyDescent="0.3">
      <c r="E973" s="17"/>
    </row>
    <row r="974" spans="5:5" ht="15.75" thickBot="1" x14ac:dyDescent="0.3">
      <c r="E974" s="17"/>
    </row>
    <row r="975" spans="5:5" ht="15.75" thickBot="1" x14ac:dyDescent="0.3">
      <c r="E975" s="17"/>
    </row>
    <row r="976" spans="5:5" ht="15.75" thickBot="1" x14ac:dyDescent="0.3">
      <c r="E976" s="17"/>
    </row>
    <row r="977" spans="5:5" ht="15.75" thickBot="1" x14ac:dyDescent="0.3">
      <c r="E977" s="17"/>
    </row>
    <row r="978" spans="5:5" ht="15.75" thickBot="1" x14ac:dyDescent="0.3">
      <c r="E978" s="17"/>
    </row>
    <row r="979" spans="5:5" ht="15.75" thickBot="1" x14ac:dyDescent="0.3">
      <c r="E979" s="17"/>
    </row>
    <row r="980" spans="5:5" ht="15.75" thickBot="1" x14ac:dyDescent="0.3">
      <c r="E980" s="17"/>
    </row>
    <row r="981" spans="5:5" ht="15.75" thickBot="1" x14ac:dyDescent="0.3">
      <c r="E981" s="17"/>
    </row>
    <row r="982" spans="5:5" ht="15.75" thickBot="1" x14ac:dyDescent="0.3">
      <c r="E982" s="17"/>
    </row>
    <row r="983" spans="5:5" ht="15.75" thickBot="1" x14ac:dyDescent="0.3">
      <c r="E983" s="17"/>
    </row>
    <row r="984" spans="5:5" ht="15.75" thickBot="1" x14ac:dyDescent="0.3">
      <c r="E984" s="17"/>
    </row>
    <row r="985" spans="5:5" ht="15.75" thickBot="1" x14ac:dyDescent="0.3">
      <c r="E985" s="17"/>
    </row>
    <row r="986" spans="5:5" ht="15.75" thickBot="1" x14ac:dyDescent="0.3">
      <c r="E986" s="17"/>
    </row>
    <row r="987" spans="5:5" ht="15.75" thickBot="1" x14ac:dyDescent="0.3">
      <c r="E987" s="17"/>
    </row>
    <row r="988" spans="5:5" ht="15.75" thickBot="1" x14ac:dyDescent="0.3">
      <c r="E988" s="17"/>
    </row>
    <row r="989" spans="5:5" ht="15.75" thickBot="1" x14ac:dyDescent="0.3">
      <c r="E989" s="17"/>
    </row>
    <row r="990" spans="5:5" ht="15.75" thickBot="1" x14ac:dyDescent="0.3">
      <c r="E990" s="17"/>
    </row>
    <row r="991" spans="5:5" ht="15.75" thickBot="1" x14ac:dyDescent="0.3">
      <c r="E991" s="17"/>
    </row>
    <row r="992" spans="5:5" ht="15.75" thickBot="1" x14ac:dyDescent="0.3">
      <c r="E992" s="17"/>
    </row>
    <row r="993" spans="5:5" ht="15.75" thickBot="1" x14ac:dyDescent="0.3">
      <c r="E993" s="17"/>
    </row>
    <row r="994" spans="5:5" ht="15.75" thickBot="1" x14ac:dyDescent="0.3">
      <c r="E994" s="17"/>
    </row>
    <row r="995" spans="5:5" ht="15.75" thickBot="1" x14ac:dyDescent="0.3">
      <c r="E995" s="17"/>
    </row>
    <row r="996" spans="5:5" ht="15.75" thickBot="1" x14ac:dyDescent="0.3">
      <c r="E996" s="17"/>
    </row>
    <row r="997" spans="5:5" ht="15.75" thickBot="1" x14ac:dyDescent="0.3">
      <c r="E997" s="17"/>
    </row>
    <row r="998" spans="5:5" ht="15.75" thickBot="1" x14ac:dyDescent="0.3">
      <c r="E998" s="17"/>
    </row>
    <row r="999" spans="5:5" ht="15.75" thickBot="1" x14ac:dyDescent="0.3">
      <c r="E999" s="17"/>
    </row>
    <row r="1000" spans="5:5" ht="15.75" thickBot="1" x14ac:dyDescent="0.3">
      <c r="E1000" s="17"/>
    </row>
  </sheetData>
  <sortState xmlns:xlrd2="http://schemas.microsoft.com/office/spreadsheetml/2017/richdata2" ref="A2:E1000">
    <sortCondition ref="A2:A100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212AA-17CA-4C6C-9264-93997F0A2DA7}">
  <dimension ref="A1:E1000"/>
  <sheetViews>
    <sheetView zoomScale="82" workbookViewId="0">
      <selection activeCell="H3" sqref="H3"/>
    </sheetView>
  </sheetViews>
  <sheetFormatPr baseColWidth="10" defaultRowHeight="15" x14ac:dyDescent="0.25"/>
  <cols>
    <col min="1" max="1" width="11.42578125" style="4"/>
    <col min="2" max="2" width="20.42578125" customWidth="1"/>
    <col min="3" max="3" width="18.5703125" customWidth="1"/>
    <col min="4" max="4" width="20.42578125" customWidth="1"/>
  </cols>
  <sheetData>
    <row r="1" spans="1:5" ht="15.75" thickBot="1" x14ac:dyDescent="0.3">
      <c r="A1" s="7" t="s">
        <v>1067</v>
      </c>
      <c r="B1" s="5" t="s">
        <v>0</v>
      </c>
      <c r="C1" s="5" t="s">
        <v>51</v>
      </c>
      <c r="D1" s="5" t="s">
        <v>52</v>
      </c>
      <c r="E1" s="16" t="s">
        <v>1016</v>
      </c>
    </row>
    <row r="2" spans="1:5" ht="90.75" thickBot="1" x14ac:dyDescent="0.3">
      <c r="A2" s="4">
        <f>_xlfn.XLOOKUP(E2,Orden_preguntas!$B:$B,Orden_preguntas!$A:$A)</f>
        <v>1</v>
      </c>
      <c r="B2" s="6" t="s">
        <v>307</v>
      </c>
      <c r="C2" s="6">
        <v>1</v>
      </c>
      <c r="D2" s="6" t="s">
        <v>357</v>
      </c>
      <c r="E2" s="17" t="s">
        <v>1027</v>
      </c>
    </row>
    <row r="3" spans="1:5" ht="90.75" thickBot="1" x14ac:dyDescent="0.3">
      <c r="A3" s="4">
        <f>_xlfn.XLOOKUP(E3,Orden_preguntas!$B:$B,Orden_preguntas!$A:$A)</f>
        <v>2</v>
      </c>
      <c r="B3" s="6" t="s">
        <v>303</v>
      </c>
      <c r="C3" s="6">
        <v>1</v>
      </c>
      <c r="D3" s="6" t="s">
        <v>353</v>
      </c>
      <c r="E3" s="17" t="s">
        <v>1032</v>
      </c>
    </row>
    <row r="4" spans="1:5" ht="105.75" thickBot="1" x14ac:dyDescent="0.3">
      <c r="A4" s="4">
        <f>_xlfn.XLOOKUP(E4,Orden_preguntas!$B:$B,Orden_preguntas!$A:$A)</f>
        <v>3</v>
      </c>
      <c r="B4" s="6" t="s">
        <v>309</v>
      </c>
      <c r="C4" s="6">
        <v>0.9</v>
      </c>
      <c r="D4" s="6" t="s">
        <v>359</v>
      </c>
      <c r="E4" s="17" t="s">
        <v>1022</v>
      </c>
    </row>
    <row r="5" spans="1:5" ht="105.75" thickBot="1" x14ac:dyDescent="0.3">
      <c r="A5" s="4">
        <f>_xlfn.XLOOKUP(E5,Orden_preguntas!$B:$B,Orden_preguntas!$A:$A)</f>
        <v>4</v>
      </c>
      <c r="B5" s="6" t="s">
        <v>310</v>
      </c>
      <c r="C5" s="6">
        <v>1</v>
      </c>
      <c r="D5" s="6" t="s">
        <v>360</v>
      </c>
      <c r="E5" s="17" t="s">
        <v>1036</v>
      </c>
    </row>
    <row r="6" spans="1:5" ht="105.75" thickBot="1" x14ac:dyDescent="0.3">
      <c r="A6" s="4">
        <f>_xlfn.XLOOKUP(E6,Orden_preguntas!$B:$B,Orden_preguntas!$A:$A)</f>
        <v>5</v>
      </c>
      <c r="B6" s="6" t="s">
        <v>305</v>
      </c>
      <c r="C6" s="6">
        <v>1</v>
      </c>
      <c r="D6" s="6" t="s">
        <v>355</v>
      </c>
      <c r="E6" s="17" t="s">
        <v>1028</v>
      </c>
    </row>
    <row r="7" spans="1:5" ht="90.75" thickBot="1" x14ac:dyDescent="0.3">
      <c r="A7" s="4">
        <f>_xlfn.XLOOKUP(E7,Orden_preguntas!$B:$B,Orden_preguntas!$A:$A)</f>
        <v>6</v>
      </c>
      <c r="B7" s="6" t="s">
        <v>315</v>
      </c>
      <c r="C7" s="6">
        <v>0.3</v>
      </c>
      <c r="D7" s="6" t="s">
        <v>365</v>
      </c>
      <c r="E7" s="17" t="s">
        <v>1024</v>
      </c>
    </row>
    <row r="8" spans="1:5" ht="120.75" thickBot="1" x14ac:dyDescent="0.3">
      <c r="A8" s="4">
        <f>_xlfn.XLOOKUP(E8,Orden_preguntas!$B:$B,Orden_preguntas!$A:$A)</f>
        <v>7</v>
      </c>
      <c r="B8" s="6" t="s">
        <v>316</v>
      </c>
      <c r="C8" s="6">
        <v>0.3</v>
      </c>
      <c r="D8" s="6" t="s">
        <v>366</v>
      </c>
      <c r="E8" s="17" t="s">
        <v>1030</v>
      </c>
    </row>
    <row r="9" spans="1:5" ht="105.75" thickBot="1" x14ac:dyDescent="0.3">
      <c r="A9" s="4">
        <f>_xlfn.XLOOKUP(E9,Orden_preguntas!$B:$B,Orden_preguntas!$A:$A)</f>
        <v>8</v>
      </c>
      <c r="B9" s="6" t="s">
        <v>320</v>
      </c>
      <c r="C9" s="6">
        <v>0.7</v>
      </c>
      <c r="D9" s="6" t="s">
        <v>370</v>
      </c>
      <c r="E9" s="17" t="s">
        <v>1020</v>
      </c>
    </row>
    <row r="10" spans="1:5" ht="90.75" thickBot="1" x14ac:dyDescent="0.3">
      <c r="A10" s="4">
        <f>_xlfn.XLOOKUP(E10,Orden_preguntas!$B:$B,Orden_preguntas!$A:$A)</f>
        <v>9</v>
      </c>
      <c r="B10" s="6" t="s">
        <v>314</v>
      </c>
      <c r="C10" s="6">
        <v>0.9</v>
      </c>
      <c r="D10" s="6" t="s">
        <v>364</v>
      </c>
      <c r="E10" s="17" t="s">
        <v>1034</v>
      </c>
    </row>
    <row r="11" spans="1:5" ht="90.75" thickBot="1" x14ac:dyDescent="0.3">
      <c r="A11" s="4">
        <f>_xlfn.XLOOKUP(E11,Orden_preguntas!$B:$B,Orden_preguntas!$A:$A)</f>
        <v>10</v>
      </c>
      <c r="B11" s="6" t="s">
        <v>322</v>
      </c>
      <c r="C11" s="6">
        <v>0.2</v>
      </c>
      <c r="D11" s="6" t="s">
        <v>372</v>
      </c>
      <c r="E11" s="17" t="s">
        <v>1035</v>
      </c>
    </row>
    <row r="12" spans="1:5" ht="135.75" thickBot="1" x14ac:dyDescent="0.3">
      <c r="A12" s="4">
        <f>_xlfn.XLOOKUP(E12,Orden_preguntas!$B:$B,Orden_preguntas!$A:$A)</f>
        <v>11</v>
      </c>
      <c r="B12" s="6" t="s">
        <v>312</v>
      </c>
      <c r="C12" s="6">
        <v>0.2</v>
      </c>
      <c r="D12" s="6" t="s">
        <v>362</v>
      </c>
      <c r="E12" s="17" t="s">
        <v>1017</v>
      </c>
    </row>
    <row r="13" spans="1:5" ht="120.75" thickBot="1" x14ac:dyDescent="0.3">
      <c r="A13" s="4">
        <f>_xlfn.XLOOKUP(E13,Orden_preguntas!$B:$B,Orden_preguntas!$A:$A)</f>
        <v>12</v>
      </c>
      <c r="B13" s="6" t="s">
        <v>304</v>
      </c>
      <c r="C13" s="6">
        <v>0.3</v>
      </c>
      <c r="D13" s="6" t="s">
        <v>354</v>
      </c>
      <c r="E13" s="17" t="s">
        <v>1023</v>
      </c>
    </row>
    <row r="14" spans="1:5" ht="135.75" thickBot="1" x14ac:dyDescent="0.3">
      <c r="A14" s="4">
        <f>_xlfn.XLOOKUP(E14,Orden_preguntas!$B:$B,Orden_preguntas!$A:$A)</f>
        <v>13</v>
      </c>
      <c r="B14" s="6" t="s">
        <v>317</v>
      </c>
      <c r="C14" s="6">
        <v>0.2</v>
      </c>
      <c r="D14" s="6" t="s">
        <v>367</v>
      </c>
      <c r="E14" s="17" t="s">
        <v>1033</v>
      </c>
    </row>
    <row r="15" spans="1:5" ht="105.75" thickBot="1" x14ac:dyDescent="0.3">
      <c r="A15" s="4">
        <f>_xlfn.XLOOKUP(E15,Orden_preguntas!$B:$B,Orden_preguntas!$A:$A)</f>
        <v>14</v>
      </c>
      <c r="B15" s="6" t="s">
        <v>319</v>
      </c>
      <c r="C15" s="6">
        <v>0.2</v>
      </c>
      <c r="D15" s="6" t="s">
        <v>369</v>
      </c>
      <c r="E15" s="17" t="s">
        <v>1018</v>
      </c>
    </row>
    <row r="16" spans="1:5" ht="150.75" thickBot="1" x14ac:dyDescent="0.3">
      <c r="A16" s="4">
        <f>_xlfn.XLOOKUP(E16,Orden_preguntas!$B:$B,Orden_preguntas!$A:$A)</f>
        <v>15</v>
      </c>
      <c r="B16" s="6" t="s">
        <v>308</v>
      </c>
      <c r="C16" s="6">
        <v>0.9</v>
      </c>
      <c r="D16" s="6" t="s">
        <v>358</v>
      </c>
      <c r="E16" s="17" t="s">
        <v>1025</v>
      </c>
    </row>
    <row r="17" spans="1:5" ht="105.75" thickBot="1" x14ac:dyDescent="0.3">
      <c r="A17" s="4">
        <f>_xlfn.XLOOKUP(E17,Orden_preguntas!$B:$B,Orden_preguntas!$A:$A)</f>
        <v>16</v>
      </c>
      <c r="B17" s="6" t="s">
        <v>311</v>
      </c>
      <c r="C17" s="6">
        <v>0.3</v>
      </c>
      <c r="D17" s="6" t="s">
        <v>361</v>
      </c>
      <c r="E17" s="17" t="s">
        <v>1019</v>
      </c>
    </row>
    <row r="18" spans="1:5" ht="75.75" thickBot="1" x14ac:dyDescent="0.3">
      <c r="A18" s="4">
        <f>_xlfn.XLOOKUP(E18,Orden_preguntas!$B:$B,Orden_preguntas!$A:$A)</f>
        <v>17</v>
      </c>
      <c r="B18" s="6" t="s">
        <v>318</v>
      </c>
      <c r="C18" s="6">
        <v>0.3</v>
      </c>
      <c r="D18" s="6" t="s">
        <v>368</v>
      </c>
      <c r="E18" s="17" t="s">
        <v>1026</v>
      </c>
    </row>
    <row r="19" spans="1:5" ht="75.75" thickBot="1" x14ac:dyDescent="0.3">
      <c r="A19" s="4">
        <f>_xlfn.XLOOKUP(E19,Orden_preguntas!$B:$B,Orden_preguntas!$A:$A)</f>
        <v>18</v>
      </c>
      <c r="B19" s="6" t="s">
        <v>321</v>
      </c>
      <c r="C19" s="6">
        <v>0.3</v>
      </c>
      <c r="D19" s="6" t="s">
        <v>371</v>
      </c>
      <c r="E19" s="17" t="s">
        <v>1031</v>
      </c>
    </row>
    <row r="20" spans="1:5" ht="135.75" thickBot="1" x14ac:dyDescent="0.3">
      <c r="A20" s="4">
        <f>_xlfn.XLOOKUP(E20,Orden_preguntas!$B:$B,Orden_preguntas!$A:$A)</f>
        <v>19</v>
      </c>
      <c r="B20" s="6" t="s">
        <v>306</v>
      </c>
      <c r="C20" s="6">
        <v>0.2</v>
      </c>
      <c r="D20" s="6" t="s">
        <v>356</v>
      </c>
      <c r="E20" s="17" t="s">
        <v>1029</v>
      </c>
    </row>
    <row r="21" spans="1:5" ht="135.75" thickBot="1" x14ac:dyDescent="0.3">
      <c r="A21" s="4">
        <f>_xlfn.XLOOKUP(E21,Orden_preguntas!$B:$B,Orden_preguntas!$A:$A)</f>
        <v>20</v>
      </c>
      <c r="B21" s="6" t="s">
        <v>313</v>
      </c>
      <c r="C21" s="6">
        <v>1</v>
      </c>
      <c r="D21" s="6" t="s">
        <v>363</v>
      </c>
      <c r="E21" s="17" t="s">
        <v>1021</v>
      </c>
    </row>
    <row r="22" spans="1:5" ht="120.75" thickBot="1" x14ac:dyDescent="0.3">
      <c r="A22" s="4">
        <f>_xlfn.XLOOKUP(E22,Orden_preguntas!$B:$B,Orden_preguntas!$A:$A)</f>
        <v>21</v>
      </c>
      <c r="B22" s="6" t="s">
        <v>333</v>
      </c>
      <c r="C22" s="6">
        <v>0.8</v>
      </c>
      <c r="D22" s="6" t="s">
        <v>383</v>
      </c>
      <c r="E22" s="17" t="s">
        <v>1038</v>
      </c>
    </row>
    <row r="23" spans="1:5" ht="150.75" thickBot="1" x14ac:dyDescent="0.3">
      <c r="A23" s="4">
        <f>_xlfn.XLOOKUP(E23,Orden_preguntas!$B:$B,Orden_preguntas!$A:$A)</f>
        <v>22</v>
      </c>
      <c r="B23" s="6" t="s">
        <v>330</v>
      </c>
      <c r="C23" s="6">
        <v>0.3</v>
      </c>
      <c r="D23" s="6" t="s">
        <v>380</v>
      </c>
      <c r="E23" s="17" t="s">
        <v>1048</v>
      </c>
    </row>
    <row r="24" spans="1:5" ht="120.75" thickBot="1" x14ac:dyDescent="0.3">
      <c r="A24" s="4">
        <f>_xlfn.XLOOKUP(E24,Orden_preguntas!$B:$B,Orden_preguntas!$A:$A)</f>
        <v>23</v>
      </c>
      <c r="B24" s="6" t="s">
        <v>324</v>
      </c>
      <c r="C24" s="6">
        <v>1</v>
      </c>
      <c r="D24" s="6" t="s">
        <v>374</v>
      </c>
      <c r="E24" s="17" t="s">
        <v>1056</v>
      </c>
    </row>
    <row r="25" spans="1:5" ht="135.75" thickBot="1" x14ac:dyDescent="0.3">
      <c r="A25" s="4">
        <f>_xlfn.XLOOKUP(E25,Orden_preguntas!$B:$B,Orden_preguntas!$A:$A)</f>
        <v>24</v>
      </c>
      <c r="B25" s="6" t="s">
        <v>335</v>
      </c>
      <c r="C25" s="6">
        <v>0.3</v>
      </c>
      <c r="D25" s="6" t="s">
        <v>385</v>
      </c>
      <c r="E25" s="17" t="s">
        <v>1037</v>
      </c>
    </row>
    <row r="26" spans="1:5" ht="120.75" thickBot="1" x14ac:dyDescent="0.3">
      <c r="A26" s="4">
        <f>_xlfn.XLOOKUP(E26,Orden_preguntas!$B:$B,Orden_preguntas!$A:$A)</f>
        <v>25</v>
      </c>
      <c r="B26" s="6" t="s">
        <v>326</v>
      </c>
      <c r="C26" s="6">
        <v>0.2</v>
      </c>
      <c r="D26" s="6" t="s">
        <v>376</v>
      </c>
      <c r="E26" s="17" t="s">
        <v>1039</v>
      </c>
    </row>
    <row r="27" spans="1:5" ht="135.75" thickBot="1" x14ac:dyDescent="0.3">
      <c r="A27" s="4">
        <f>_xlfn.XLOOKUP(E27,Orden_preguntas!$B:$B,Orden_preguntas!$A:$A)</f>
        <v>26</v>
      </c>
      <c r="B27" s="6" t="s">
        <v>327</v>
      </c>
      <c r="C27" s="6">
        <v>0.3</v>
      </c>
      <c r="D27" s="6" t="s">
        <v>377</v>
      </c>
      <c r="E27" s="17" t="s">
        <v>1041</v>
      </c>
    </row>
    <row r="28" spans="1:5" ht="105.75" thickBot="1" x14ac:dyDescent="0.3">
      <c r="A28" s="4">
        <f>_xlfn.XLOOKUP(E28,Orden_preguntas!$B:$B,Orden_preguntas!$A:$A)</f>
        <v>27</v>
      </c>
      <c r="B28" s="6" t="s">
        <v>323</v>
      </c>
      <c r="C28" s="6">
        <v>0.9</v>
      </c>
      <c r="D28" s="6" t="s">
        <v>373</v>
      </c>
      <c r="E28" s="17" t="s">
        <v>1040</v>
      </c>
    </row>
    <row r="29" spans="1:5" ht="105.75" thickBot="1" x14ac:dyDescent="0.3">
      <c r="A29" s="4">
        <f>_xlfn.XLOOKUP(E29,Orden_preguntas!$B:$B,Orden_preguntas!$A:$A)</f>
        <v>28</v>
      </c>
      <c r="B29" s="6" t="s">
        <v>331</v>
      </c>
      <c r="C29" s="6">
        <v>0.2</v>
      </c>
      <c r="D29" s="6" t="s">
        <v>381</v>
      </c>
      <c r="E29" s="17" t="s">
        <v>1042</v>
      </c>
    </row>
    <row r="30" spans="1:5" ht="135.75" thickBot="1" x14ac:dyDescent="0.3">
      <c r="A30" s="4">
        <f>_xlfn.XLOOKUP(E30,Orden_preguntas!$B:$B,Orden_preguntas!$A:$A)</f>
        <v>29</v>
      </c>
      <c r="B30" s="6" t="s">
        <v>341</v>
      </c>
      <c r="C30" s="6">
        <v>0.4</v>
      </c>
      <c r="D30" s="6" t="s">
        <v>391</v>
      </c>
      <c r="E30" s="17" t="s">
        <v>1043</v>
      </c>
    </row>
    <row r="31" spans="1:5" ht="150.75" thickBot="1" x14ac:dyDescent="0.3">
      <c r="A31" s="4">
        <f>_xlfn.XLOOKUP(E31,Orden_preguntas!$B:$B,Orden_preguntas!$A:$A)</f>
        <v>30</v>
      </c>
      <c r="B31" s="6" t="s">
        <v>329</v>
      </c>
      <c r="C31" s="6">
        <v>1</v>
      </c>
      <c r="D31" s="6" t="s">
        <v>379</v>
      </c>
      <c r="E31" s="17" t="s">
        <v>1045</v>
      </c>
    </row>
    <row r="32" spans="1:5" ht="150.75" thickBot="1" x14ac:dyDescent="0.3">
      <c r="A32" s="4">
        <f>_xlfn.XLOOKUP(E32,Orden_preguntas!$B:$B,Orden_preguntas!$A:$A)</f>
        <v>31</v>
      </c>
      <c r="B32" s="6" t="s">
        <v>340</v>
      </c>
      <c r="C32" s="6">
        <v>0.9</v>
      </c>
      <c r="D32" s="6" t="s">
        <v>390</v>
      </c>
      <c r="E32" s="17" t="s">
        <v>1051</v>
      </c>
    </row>
    <row r="33" spans="1:5" ht="180.75" thickBot="1" x14ac:dyDescent="0.3">
      <c r="A33" s="4">
        <f>_xlfn.XLOOKUP(E33,Orden_preguntas!$B:$B,Orden_preguntas!$A:$A)</f>
        <v>32</v>
      </c>
      <c r="B33" s="6" t="s">
        <v>325</v>
      </c>
      <c r="C33" s="6">
        <v>1</v>
      </c>
      <c r="D33" s="6" t="s">
        <v>375</v>
      </c>
      <c r="E33" s="17" t="s">
        <v>1047</v>
      </c>
    </row>
    <row r="34" spans="1:5" ht="165.75" thickBot="1" x14ac:dyDescent="0.3">
      <c r="A34" s="4">
        <f>_xlfn.XLOOKUP(E34,Orden_preguntas!$B:$B,Orden_preguntas!$A:$A)</f>
        <v>33</v>
      </c>
      <c r="B34" s="6" t="s">
        <v>328</v>
      </c>
      <c r="C34" s="6">
        <v>1</v>
      </c>
      <c r="D34" s="6" t="s">
        <v>378</v>
      </c>
      <c r="E34" s="17" t="s">
        <v>1053</v>
      </c>
    </row>
    <row r="35" spans="1:5" ht="120.75" thickBot="1" x14ac:dyDescent="0.3">
      <c r="A35" s="4">
        <f>_xlfn.XLOOKUP(E35,Orden_preguntas!$B:$B,Orden_preguntas!$A:$A)</f>
        <v>34</v>
      </c>
      <c r="B35" s="6" t="s">
        <v>332</v>
      </c>
      <c r="C35" s="6">
        <v>0.2</v>
      </c>
      <c r="D35" s="6" t="s">
        <v>382</v>
      </c>
      <c r="E35" s="17" t="s">
        <v>1057</v>
      </c>
    </row>
    <row r="36" spans="1:5" ht="165.75" thickBot="1" x14ac:dyDescent="0.3">
      <c r="A36" s="4">
        <f>_xlfn.XLOOKUP(E36,Orden_preguntas!$B:$B,Orden_preguntas!$A:$A)</f>
        <v>35</v>
      </c>
      <c r="B36" s="6" t="s">
        <v>336</v>
      </c>
      <c r="C36" s="6">
        <v>0.1</v>
      </c>
      <c r="D36" s="6" t="s">
        <v>386</v>
      </c>
      <c r="E36" s="17" t="s">
        <v>1046</v>
      </c>
    </row>
    <row r="37" spans="1:5" ht="135.75" thickBot="1" x14ac:dyDescent="0.3">
      <c r="A37" s="4">
        <f>_xlfn.XLOOKUP(E37,Orden_preguntas!$B:$B,Orden_preguntas!$A:$A)</f>
        <v>36</v>
      </c>
      <c r="B37" s="6" t="s">
        <v>337</v>
      </c>
      <c r="C37" s="6">
        <v>0.3</v>
      </c>
      <c r="D37" s="6" t="s">
        <v>387</v>
      </c>
      <c r="E37" s="17" t="s">
        <v>1049</v>
      </c>
    </row>
    <row r="38" spans="1:5" ht="135.75" thickBot="1" x14ac:dyDescent="0.3">
      <c r="A38" s="4">
        <f>_xlfn.XLOOKUP(E38,Orden_preguntas!$B:$B,Orden_preguntas!$A:$A)</f>
        <v>37</v>
      </c>
      <c r="B38" s="6" t="s">
        <v>338</v>
      </c>
      <c r="C38" s="6">
        <v>0.3</v>
      </c>
      <c r="D38" s="6" t="s">
        <v>388</v>
      </c>
      <c r="E38" s="17" t="s">
        <v>1052</v>
      </c>
    </row>
    <row r="39" spans="1:5" ht="105.75" thickBot="1" x14ac:dyDescent="0.3">
      <c r="A39" s="4">
        <f>_xlfn.XLOOKUP(E39,Orden_preguntas!$B:$B,Orden_preguntas!$A:$A)</f>
        <v>38</v>
      </c>
      <c r="B39" s="6" t="s">
        <v>339</v>
      </c>
      <c r="C39" s="6">
        <v>1</v>
      </c>
      <c r="D39" s="6" t="s">
        <v>389</v>
      </c>
      <c r="E39" s="17" t="s">
        <v>1044</v>
      </c>
    </row>
    <row r="40" spans="1:5" ht="165.75" thickBot="1" x14ac:dyDescent="0.3">
      <c r="A40" s="4">
        <f>_xlfn.XLOOKUP(E40,Orden_preguntas!$B:$B,Orden_preguntas!$A:$A)</f>
        <v>39</v>
      </c>
      <c r="B40" s="6" t="s">
        <v>334</v>
      </c>
      <c r="C40" s="6">
        <v>1</v>
      </c>
      <c r="D40" s="6" t="s">
        <v>384</v>
      </c>
      <c r="E40" s="17" t="s">
        <v>1055</v>
      </c>
    </row>
    <row r="41" spans="1:5" ht="165.75" thickBot="1" x14ac:dyDescent="0.3">
      <c r="A41" s="4">
        <f>_xlfn.XLOOKUP(E41,Orden_preguntas!$B:$B,Orden_preguntas!$A:$A)</f>
        <v>40</v>
      </c>
      <c r="B41" s="6" t="s">
        <v>346</v>
      </c>
      <c r="C41" s="6">
        <v>0.9</v>
      </c>
      <c r="D41" s="6" t="s">
        <v>396</v>
      </c>
      <c r="E41" s="17" t="s">
        <v>1050</v>
      </c>
    </row>
    <row r="42" spans="1:5" ht="225.75" thickBot="1" x14ac:dyDescent="0.3">
      <c r="A42" s="4">
        <f>_xlfn.XLOOKUP(E42,Orden_preguntas!$B:$B,Orden_preguntas!$A:$A)</f>
        <v>41</v>
      </c>
      <c r="B42" s="6" t="s">
        <v>350</v>
      </c>
      <c r="C42" s="6">
        <v>0.8</v>
      </c>
      <c r="D42" s="6" t="s">
        <v>400</v>
      </c>
      <c r="E42" s="17" t="s">
        <v>1054</v>
      </c>
    </row>
    <row r="43" spans="1:5" ht="165.75" thickBot="1" x14ac:dyDescent="0.3">
      <c r="A43" s="4">
        <f>_xlfn.XLOOKUP(E43,Orden_preguntas!$B:$B,Orden_preguntas!$A:$A)</f>
        <v>42</v>
      </c>
      <c r="B43" s="6" t="s">
        <v>344</v>
      </c>
      <c r="C43" s="6">
        <v>0.2</v>
      </c>
      <c r="D43" s="6" t="s">
        <v>394</v>
      </c>
      <c r="E43" s="17" t="s">
        <v>1065</v>
      </c>
    </row>
    <row r="44" spans="1:5" ht="165.75" thickBot="1" x14ac:dyDescent="0.3">
      <c r="A44" s="4">
        <f>_xlfn.XLOOKUP(E44,Orden_preguntas!$B:$B,Orden_preguntas!$A:$A)</f>
        <v>43</v>
      </c>
      <c r="B44" s="6" t="s">
        <v>342</v>
      </c>
      <c r="C44" s="6">
        <v>1</v>
      </c>
      <c r="D44" s="6" t="s">
        <v>392</v>
      </c>
      <c r="E44" s="17" t="s">
        <v>1059</v>
      </c>
    </row>
    <row r="45" spans="1:5" ht="135.75" thickBot="1" x14ac:dyDescent="0.3">
      <c r="A45" s="4">
        <f>_xlfn.XLOOKUP(E45,Orden_preguntas!$B:$B,Orden_preguntas!$A:$A)</f>
        <v>44</v>
      </c>
      <c r="B45" s="6" t="s">
        <v>348</v>
      </c>
      <c r="C45" s="6">
        <v>1</v>
      </c>
      <c r="D45" s="6" t="s">
        <v>398</v>
      </c>
      <c r="E45" s="17" t="s">
        <v>1058</v>
      </c>
    </row>
    <row r="46" spans="1:5" ht="150.75" thickBot="1" x14ac:dyDescent="0.3">
      <c r="A46" s="4">
        <f>_xlfn.XLOOKUP(E46,Orden_preguntas!$B:$B,Orden_preguntas!$A:$A)</f>
        <v>45</v>
      </c>
      <c r="B46" s="6" t="s">
        <v>351</v>
      </c>
      <c r="C46" s="6">
        <v>0.6</v>
      </c>
      <c r="D46" s="6" t="s">
        <v>401</v>
      </c>
      <c r="E46" s="17" t="s">
        <v>1061</v>
      </c>
    </row>
    <row r="47" spans="1:5" ht="105.75" thickBot="1" x14ac:dyDescent="0.3">
      <c r="A47" s="4">
        <f>_xlfn.XLOOKUP(E47,Orden_preguntas!$B:$B,Orden_preguntas!$A:$A)</f>
        <v>46</v>
      </c>
      <c r="B47" s="6" t="s">
        <v>347</v>
      </c>
      <c r="C47" s="6">
        <v>0.6</v>
      </c>
      <c r="D47" s="6" t="s">
        <v>397</v>
      </c>
      <c r="E47" s="17" t="s">
        <v>1060</v>
      </c>
    </row>
    <row r="48" spans="1:5" ht="135.75" thickBot="1" x14ac:dyDescent="0.3">
      <c r="A48" s="4">
        <f>_xlfn.XLOOKUP(E48,Orden_preguntas!$B:$B,Orden_preguntas!$A:$A)</f>
        <v>47</v>
      </c>
      <c r="B48" s="6" t="s">
        <v>343</v>
      </c>
      <c r="C48" s="6">
        <v>0.6</v>
      </c>
      <c r="D48" s="6" t="s">
        <v>393</v>
      </c>
      <c r="E48" s="17" t="s">
        <v>1062</v>
      </c>
    </row>
    <row r="49" spans="1:5" ht="165.75" thickBot="1" x14ac:dyDescent="0.3">
      <c r="A49" s="4">
        <f>_xlfn.XLOOKUP(E49,Orden_preguntas!$B:$B,Orden_preguntas!$A:$A)</f>
        <v>48</v>
      </c>
      <c r="B49" s="6" t="s">
        <v>349</v>
      </c>
      <c r="C49" s="6">
        <v>0.3</v>
      </c>
      <c r="D49" s="6" t="s">
        <v>399</v>
      </c>
      <c r="E49" s="17" t="s">
        <v>1066</v>
      </c>
    </row>
    <row r="50" spans="1:5" ht="195.75" thickBot="1" x14ac:dyDescent="0.3">
      <c r="A50" s="4">
        <f>_xlfn.XLOOKUP(E50,Orden_preguntas!$B:$B,Orden_preguntas!$A:$A)</f>
        <v>49</v>
      </c>
      <c r="B50" s="6" t="s">
        <v>345</v>
      </c>
      <c r="C50" s="6">
        <v>1</v>
      </c>
      <c r="D50" s="6" t="s">
        <v>395</v>
      </c>
      <c r="E50" s="17" t="s">
        <v>1063</v>
      </c>
    </row>
    <row r="51" spans="1:5" ht="210.75" thickBot="1" x14ac:dyDescent="0.3">
      <c r="A51" s="4">
        <f>_xlfn.XLOOKUP(E51,Orden_preguntas!$B:$B,Orden_preguntas!$A:$A)</f>
        <v>50</v>
      </c>
      <c r="B51" s="6" t="s">
        <v>352</v>
      </c>
      <c r="C51" s="6">
        <v>0.6</v>
      </c>
      <c r="D51" s="6" t="s">
        <v>402</v>
      </c>
      <c r="E51" s="17" t="s">
        <v>1064</v>
      </c>
    </row>
    <row r="52" spans="1:5" ht="15.75" thickBot="1" x14ac:dyDescent="0.3">
      <c r="E52" s="17"/>
    </row>
    <row r="53" spans="1:5" ht="15.75" thickBot="1" x14ac:dyDescent="0.3">
      <c r="E53" s="17"/>
    </row>
    <row r="54" spans="1:5" ht="15.75" thickBot="1" x14ac:dyDescent="0.3">
      <c r="E54" s="17"/>
    </row>
    <row r="55" spans="1:5" ht="15.75" thickBot="1" x14ac:dyDescent="0.3">
      <c r="E55" s="17"/>
    </row>
    <row r="56" spans="1:5" ht="15.75" thickBot="1" x14ac:dyDescent="0.3">
      <c r="E56" s="17"/>
    </row>
    <row r="57" spans="1:5" ht="15.75" thickBot="1" x14ac:dyDescent="0.3">
      <c r="E57" s="17"/>
    </row>
    <row r="58" spans="1:5" ht="15.75" thickBot="1" x14ac:dyDescent="0.3">
      <c r="E58" s="17"/>
    </row>
    <row r="59" spans="1:5" ht="15.75" thickBot="1" x14ac:dyDescent="0.3">
      <c r="E59" s="17"/>
    </row>
    <row r="60" spans="1:5" ht="15.75" thickBot="1" x14ac:dyDescent="0.3">
      <c r="E60" s="17"/>
    </row>
    <row r="61" spans="1:5" ht="15.75" thickBot="1" x14ac:dyDescent="0.3">
      <c r="E61" s="17"/>
    </row>
    <row r="62" spans="1:5" ht="15.75" thickBot="1" x14ac:dyDescent="0.3">
      <c r="E62" s="17"/>
    </row>
    <row r="63" spans="1:5" ht="15.75" thickBot="1" x14ac:dyDescent="0.3">
      <c r="E63" s="17"/>
    </row>
    <row r="64" spans="1:5" ht="15.75" thickBot="1" x14ac:dyDescent="0.3">
      <c r="E64" s="17"/>
    </row>
    <row r="65" spans="5:5" ht="15.75" thickBot="1" x14ac:dyDescent="0.3">
      <c r="E65" s="17"/>
    </row>
    <row r="66" spans="5:5" ht="15.75" thickBot="1" x14ac:dyDescent="0.3">
      <c r="E66" s="17"/>
    </row>
    <row r="67" spans="5:5" ht="15.75" thickBot="1" x14ac:dyDescent="0.3">
      <c r="E67" s="17"/>
    </row>
    <row r="68" spans="5:5" ht="15.75" thickBot="1" x14ac:dyDescent="0.3">
      <c r="E68" s="17"/>
    </row>
    <row r="69" spans="5:5" ht="15.75" thickBot="1" x14ac:dyDescent="0.3">
      <c r="E69" s="17"/>
    </row>
    <row r="70" spans="5:5" ht="15.75" thickBot="1" x14ac:dyDescent="0.3">
      <c r="E70" s="17"/>
    </row>
    <row r="71" spans="5:5" ht="15.75" thickBot="1" x14ac:dyDescent="0.3">
      <c r="E71" s="17"/>
    </row>
    <row r="72" spans="5:5" ht="15.75" thickBot="1" x14ac:dyDescent="0.3">
      <c r="E72" s="17"/>
    </row>
    <row r="73" spans="5:5" ht="15.75" thickBot="1" x14ac:dyDescent="0.3">
      <c r="E73" s="17"/>
    </row>
    <row r="74" spans="5:5" ht="15.75" thickBot="1" x14ac:dyDescent="0.3">
      <c r="E74" s="17"/>
    </row>
    <row r="75" spans="5:5" ht="15.75" thickBot="1" x14ac:dyDescent="0.3">
      <c r="E75" s="17"/>
    </row>
    <row r="76" spans="5:5" ht="15.75" thickBot="1" x14ac:dyDescent="0.3">
      <c r="E76" s="17"/>
    </row>
    <row r="77" spans="5:5" ht="15.75" thickBot="1" x14ac:dyDescent="0.3">
      <c r="E77" s="17"/>
    </row>
    <row r="78" spans="5:5" ht="15.75" thickBot="1" x14ac:dyDescent="0.3">
      <c r="E78" s="17"/>
    </row>
    <row r="79" spans="5:5" ht="15.75" thickBot="1" x14ac:dyDescent="0.3">
      <c r="E79" s="17"/>
    </row>
    <row r="80" spans="5:5" ht="15.75" thickBot="1" x14ac:dyDescent="0.3">
      <c r="E80" s="17"/>
    </row>
    <row r="81" spans="5:5" ht="15.75" thickBot="1" x14ac:dyDescent="0.3">
      <c r="E81" s="17"/>
    </row>
    <row r="82" spans="5:5" ht="15.75" thickBot="1" x14ac:dyDescent="0.3">
      <c r="E82" s="17"/>
    </row>
    <row r="83" spans="5:5" ht="15.75" thickBot="1" x14ac:dyDescent="0.3">
      <c r="E83" s="17"/>
    </row>
    <row r="84" spans="5:5" ht="15.75" thickBot="1" x14ac:dyDescent="0.3">
      <c r="E84" s="17"/>
    </row>
    <row r="85" spans="5:5" ht="15.75" thickBot="1" x14ac:dyDescent="0.3">
      <c r="E85" s="17"/>
    </row>
    <row r="86" spans="5:5" ht="15.75" thickBot="1" x14ac:dyDescent="0.3">
      <c r="E86" s="17"/>
    </row>
    <row r="87" spans="5:5" ht="15.75" thickBot="1" x14ac:dyDescent="0.3">
      <c r="E87" s="17"/>
    </row>
    <row r="88" spans="5:5" ht="15.75" thickBot="1" x14ac:dyDescent="0.3">
      <c r="E88" s="17"/>
    </row>
    <row r="89" spans="5:5" ht="15.75" thickBot="1" x14ac:dyDescent="0.3">
      <c r="E89" s="17"/>
    </row>
    <row r="90" spans="5:5" ht="15.75" thickBot="1" x14ac:dyDescent="0.3">
      <c r="E90" s="17"/>
    </row>
    <row r="91" spans="5:5" ht="15.75" thickBot="1" x14ac:dyDescent="0.3">
      <c r="E91" s="17"/>
    </row>
    <row r="92" spans="5:5" ht="15.75" thickBot="1" x14ac:dyDescent="0.3">
      <c r="E92" s="17"/>
    </row>
    <row r="93" spans="5:5" ht="15.75" thickBot="1" x14ac:dyDescent="0.3">
      <c r="E93" s="17"/>
    </row>
    <row r="94" spans="5:5" ht="15.75" thickBot="1" x14ac:dyDescent="0.3">
      <c r="E94" s="17"/>
    </row>
    <row r="95" spans="5:5" ht="15.75" thickBot="1" x14ac:dyDescent="0.3">
      <c r="E95" s="17"/>
    </row>
    <row r="96" spans="5:5" ht="15.75" thickBot="1" x14ac:dyDescent="0.3">
      <c r="E96" s="17"/>
    </row>
    <row r="97" spans="5:5" ht="15.75" thickBot="1" x14ac:dyDescent="0.3">
      <c r="E97" s="17"/>
    </row>
    <row r="98" spans="5:5" ht="15.75" thickBot="1" x14ac:dyDescent="0.3">
      <c r="E98" s="17"/>
    </row>
    <row r="99" spans="5:5" ht="15.75" thickBot="1" x14ac:dyDescent="0.3">
      <c r="E99" s="17"/>
    </row>
    <row r="100" spans="5:5" ht="15.75" thickBot="1" x14ac:dyDescent="0.3">
      <c r="E100" s="17"/>
    </row>
    <row r="101" spans="5:5" ht="15.75" thickBot="1" x14ac:dyDescent="0.3">
      <c r="E101" s="17"/>
    </row>
    <row r="102" spans="5:5" ht="15.75" thickBot="1" x14ac:dyDescent="0.3">
      <c r="E102" s="17"/>
    </row>
    <row r="103" spans="5:5" ht="15.75" thickBot="1" x14ac:dyDescent="0.3">
      <c r="E103" s="17"/>
    </row>
    <row r="104" spans="5:5" ht="15.75" thickBot="1" x14ac:dyDescent="0.3">
      <c r="E104" s="17"/>
    </row>
    <row r="105" spans="5:5" ht="15.75" thickBot="1" x14ac:dyDescent="0.3">
      <c r="E105" s="17"/>
    </row>
    <row r="106" spans="5:5" ht="15.75" thickBot="1" x14ac:dyDescent="0.3">
      <c r="E106" s="17"/>
    </row>
    <row r="107" spans="5:5" ht="15.75" thickBot="1" x14ac:dyDescent="0.3">
      <c r="E107" s="17"/>
    </row>
    <row r="108" spans="5:5" ht="15.75" thickBot="1" x14ac:dyDescent="0.3">
      <c r="E108" s="17"/>
    </row>
    <row r="109" spans="5:5" ht="15.75" thickBot="1" x14ac:dyDescent="0.3">
      <c r="E109" s="17"/>
    </row>
    <row r="110" spans="5:5" ht="15.75" thickBot="1" x14ac:dyDescent="0.3">
      <c r="E110" s="17"/>
    </row>
    <row r="111" spans="5:5" ht="15.75" thickBot="1" x14ac:dyDescent="0.3">
      <c r="E111" s="17"/>
    </row>
    <row r="112" spans="5:5" ht="15.75" thickBot="1" x14ac:dyDescent="0.3">
      <c r="E112" s="17"/>
    </row>
    <row r="113" spans="5:5" ht="15.75" thickBot="1" x14ac:dyDescent="0.3">
      <c r="E113" s="17"/>
    </row>
    <row r="114" spans="5:5" ht="15.75" thickBot="1" x14ac:dyDescent="0.3">
      <c r="E114" s="17"/>
    </row>
    <row r="115" spans="5:5" ht="15.75" thickBot="1" x14ac:dyDescent="0.3">
      <c r="E115" s="17"/>
    </row>
    <row r="116" spans="5:5" ht="15.75" thickBot="1" x14ac:dyDescent="0.3">
      <c r="E116" s="17"/>
    </row>
    <row r="117" spans="5:5" ht="15.75" thickBot="1" x14ac:dyDescent="0.3">
      <c r="E117" s="17"/>
    </row>
    <row r="118" spans="5:5" ht="15.75" thickBot="1" x14ac:dyDescent="0.3">
      <c r="E118" s="17"/>
    </row>
    <row r="119" spans="5:5" ht="15.75" thickBot="1" x14ac:dyDescent="0.3">
      <c r="E119" s="17"/>
    </row>
    <row r="120" spans="5:5" ht="15.75" thickBot="1" x14ac:dyDescent="0.3">
      <c r="E120" s="17"/>
    </row>
    <row r="121" spans="5:5" ht="15.75" thickBot="1" x14ac:dyDescent="0.3">
      <c r="E121" s="17"/>
    </row>
    <row r="122" spans="5:5" ht="15.75" thickBot="1" x14ac:dyDescent="0.3">
      <c r="E122" s="17"/>
    </row>
    <row r="123" spans="5:5" ht="15.75" thickBot="1" x14ac:dyDescent="0.3">
      <c r="E123" s="17"/>
    </row>
    <row r="124" spans="5:5" ht="15.75" thickBot="1" x14ac:dyDescent="0.3">
      <c r="E124" s="17"/>
    </row>
    <row r="125" spans="5:5" ht="15.75" thickBot="1" x14ac:dyDescent="0.3">
      <c r="E125" s="17"/>
    </row>
    <row r="126" spans="5:5" ht="15.75" thickBot="1" x14ac:dyDescent="0.3">
      <c r="E126" s="17"/>
    </row>
    <row r="127" spans="5:5" ht="15.75" thickBot="1" x14ac:dyDescent="0.3">
      <c r="E127" s="17"/>
    </row>
    <row r="128" spans="5:5" ht="15.75" thickBot="1" x14ac:dyDescent="0.3">
      <c r="E128" s="17"/>
    </row>
    <row r="129" spans="5:5" ht="15.75" thickBot="1" x14ac:dyDescent="0.3">
      <c r="E129" s="17"/>
    </row>
    <row r="130" spans="5:5" ht="15.75" thickBot="1" x14ac:dyDescent="0.3">
      <c r="E130" s="17"/>
    </row>
    <row r="131" spans="5:5" ht="15.75" thickBot="1" x14ac:dyDescent="0.3">
      <c r="E131" s="17"/>
    </row>
    <row r="132" spans="5:5" ht="15.75" thickBot="1" x14ac:dyDescent="0.3">
      <c r="E132" s="17"/>
    </row>
    <row r="133" spans="5:5" ht="15.75" thickBot="1" x14ac:dyDescent="0.3">
      <c r="E133" s="17"/>
    </row>
    <row r="134" spans="5:5" ht="15.75" thickBot="1" x14ac:dyDescent="0.3">
      <c r="E134" s="17"/>
    </row>
    <row r="135" spans="5:5" ht="15.75" thickBot="1" x14ac:dyDescent="0.3">
      <c r="E135" s="17"/>
    </row>
    <row r="136" spans="5:5" ht="15.75" thickBot="1" x14ac:dyDescent="0.3">
      <c r="E136" s="17"/>
    </row>
    <row r="137" spans="5:5" ht="15.75" thickBot="1" x14ac:dyDescent="0.3">
      <c r="E137" s="17"/>
    </row>
    <row r="138" spans="5:5" ht="15.75" thickBot="1" x14ac:dyDescent="0.3">
      <c r="E138" s="17"/>
    </row>
    <row r="139" spans="5:5" ht="15.75" thickBot="1" x14ac:dyDescent="0.3">
      <c r="E139" s="17"/>
    </row>
    <row r="140" spans="5:5" ht="15.75" thickBot="1" x14ac:dyDescent="0.3">
      <c r="E140" s="17"/>
    </row>
    <row r="141" spans="5:5" ht="15.75" thickBot="1" x14ac:dyDescent="0.3">
      <c r="E141" s="17"/>
    </row>
    <row r="142" spans="5:5" ht="15.75" thickBot="1" x14ac:dyDescent="0.3">
      <c r="E142" s="17"/>
    </row>
    <row r="143" spans="5:5" ht="15.75" thickBot="1" x14ac:dyDescent="0.3">
      <c r="E143" s="17"/>
    </row>
    <row r="144" spans="5:5" ht="15.75" thickBot="1" x14ac:dyDescent="0.3">
      <c r="E144" s="17"/>
    </row>
    <row r="145" spans="5:5" ht="15.75" thickBot="1" x14ac:dyDescent="0.3">
      <c r="E145" s="17"/>
    </row>
    <row r="146" spans="5:5" ht="15.75" thickBot="1" x14ac:dyDescent="0.3">
      <c r="E146" s="17"/>
    </row>
    <row r="147" spans="5:5" ht="15.75" thickBot="1" x14ac:dyDescent="0.3">
      <c r="E147" s="17"/>
    </row>
    <row r="148" spans="5:5" ht="15.75" thickBot="1" x14ac:dyDescent="0.3">
      <c r="E148" s="17"/>
    </row>
    <row r="149" spans="5:5" ht="15.75" thickBot="1" x14ac:dyDescent="0.3">
      <c r="E149" s="17"/>
    </row>
    <row r="150" spans="5:5" ht="15.75" thickBot="1" x14ac:dyDescent="0.3">
      <c r="E150" s="17"/>
    </row>
    <row r="151" spans="5:5" ht="15.75" thickBot="1" x14ac:dyDescent="0.3">
      <c r="E151" s="17"/>
    </row>
    <row r="152" spans="5:5" ht="15.75" thickBot="1" x14ac:dyDescent="0.3">
      <c r="E152" s="17"/>
    </row>
    <row r="153" spans="5:5" ht="15.75" thickBot="1" x14ac:dyDescent="0.3">
      <c r="E153" s="17"/>
    </row>
    <row r="154" spans="5:5" ht="15.75" thickBot="1" x14ac:dyDescent="0.3">
      <c r="E154" s="17"/>
    </row>
    <row r="155" spans="5:5" ht="15.75" thickBot="1" x14ac:dyDescent="0.3">
      <c r="E155" s="17"/>
    </row>
    <row r="156" spans="5:5" ht="15.75" thickBot="1" x14ac:dyDescent="0.3">
      <c r="E156" s="17"/>
    </row>
    <row r="157" spans="5:5" ht="15.75" thickBot="1" x14ac:dyDescent="0.3">
      <c r="E157" s="17"/>
    </row>
    <row r="158" spans="5:5" ht="15.75" thickBot="1" x14ac:dyDescent="0.3">
      <c r="E158" s="17"/>
    </row>
    <row r="159" spans="5:5" ht="15.75" thickBot="1" x14ac:dyDescent="0.3">
      <c r="E159" s="17"/>
    </row>
    <row r="160" spans="5:5" ht="15.75" thickBot="1" x14ac:dyDescent="0.3">
      <c r="E160" s="17"/>
    </row>
    <row r="161" spans="5:5" ht="15.75" thickBot="1" x14ac:dyDescent="0.3">
      <c r="E161" s="17"/>
    </row>
    <row r="162" spans="5:5" ht="15.75" thickBot="1" x14ac:dyDescent="0.3">
      <c r="E162" s="17"/>
    </row>
    <row r="163" spans="5:5" ht="15.75" thickBot="1" x14ac:dyDescent="0.3">
      <c r="E163" s="17"/>
    </row>
    <row r="164" spans="5:5" ht="15.75" thickBot="1" x14ac:dyDescent="0.3">
      <c r="E164" s="17"/>
    </row>
    <row r="165" spans="5:5" ht="15.75" thickBot="1" x14ac:dyDescent="0.3">
      <c r="E165" s="17"/>
    </row>
    <row r="166" spans="5:5" ht="15.75" thickBot="1" x14ac:dyDescent="0.3">
      <c r="E166" s="17"/>
    </row>
    <row r="167" spans="5:5" ht="15.75" thickBot="1" x14ac:dyDescent="0.3">
      <c r="E167" s="17"/>
    </row>
    <row r="168" spans="5:5" ht="15.75" thickBot="1" x14ac:dyDescent="0.3">
      <c r="E168" s="17"/>
    </row>
    <row r="169" spans="5:5" ht="15.75" thickBot="1" x14ac:dyDescent="0.3">
      <c r="E169" s="17"/>
    </row>
    <row r="170" spans="5:5" ht="15.75" thickBot="1" x14ac:dyDescent="0.3">
      <c r="E170" s="17"/>
    </row>
    <row r="171" spans="5:5" ht="15.75" thickBot="1" x14ac:dyDescent="0.3">
      <c r="E171" s="17"/>
    </row>
    <row r="172" spans="5:5" ht="15.75" thickBot="1" x14ac:dyDescent="0.3">
      <c r="E172" s="17"/>
    </row>
    <row r="173" spans="5:5" ht="15.75" thickBot="1" x14ac:dyDescent="0.3">
      <c r="E173" s="17"/>
    </row>
    <row r="174" spans="5:5" ht="15.75" thickBot="1" x14ac:dyDescent="0.3">
      <c r="E174" s="17"/>
    </row>
    <row r="175" spans="5:5" ht="15.75" thickBot="1" x14ac:dyDescent="0.3">
      <c r="E175" s="17"/>
    </row>
    <row r="176" spans="5:5" ht="15.75" thickBot="1" x14ac:dyDescent="0.3">
      <c r="E176" s="17"/>
    </row>
    <row r="177" spans="5:5" ht="15.75" thickBot="1" x14ac:dyDescent="0.3">
      <c r="E177" s="17"/>
    </row>
    <row r="178" spans="5:5" ht="15.75" thickBot="1" x14ac:dyDescent="0.3">
      <c r="E178" s="17"/>
    </row>
    <row r="179" spans="5:5" ht="15.75" thickBot="1" x14ac:dyDescent="0.3">
      <c r="E179" s="17"/>
    </row>
    <row r="180" spans="5:5" ht="15.75" thickBot="1" x14ac:dyDescent="0.3">
      <c r="E180" s="17"/>
    </row>
    <row r="181" spans="5:5" ht="15.75" thickBot="1" x14ac:dyDescent="0.3">
      <c r="E181" s="17"/>
    </row>
    <row r="182" spans="5:5" ht="15.75" thickBot="1" x14ac:dyDescent="0.3">
      <c r="E182" s="17"/>
    </row>
    <row r="183" spans="5:5" ht="15.75" thickBot="1" x14ac:dyDescent="0.3">
      <c r="E183" s="17"/>
    </row>
    <row r="184" spans="5:5" ht="15.75" thickBot="1" x14ac:dyDescent="0.3">
      <c r="E184" s="17"/>
    </row>
    <row r="185" spans="5:5" ht="15.75" thickBot="1" x14ac:dyDescent="0.3">
      <c r="E185" s="17"/>
    </row>
    <row r="186" spans="5:5" ht="15.75" thickBot="1" x14ac:dyDescent="0.3">
      <c r="E186" s="17"/>
    </row>
    <row r="187" spans="5:5" ht="15.75" thickBot="1" x14ac:dyDescent="0.3">
      <c r="E187" s="17"/>
    </row>
    <row r="188" spans="5:5" ht="15.75" thickBot="1" x14ac:dyDescent="0.3">
      <c r="E188" s="17"/>
    </row>
    <row r="189" spans="5:5" ht="15.75" thickBot="1" x14ac:dyDescent="0.3">
      <c r="E189" s="17"/>
    </row>
    <row r="190" spans="5:5" ht="15.75" thickBot="1" x14ac:dyDescent="0.3">
      <c r="E190" s="17"/>
    </row>
    <row r="191" spans="5:5" ht="15.75" thickBot="1" x14ac:dyDescent="0.3">
      <c r="E191" s="17"/>
    </row>
    <row r="192" spans="5:5" ht="15.75" thickBot="1" x14ac:dyDescent="0.3">
      <c r="E192" s="17"/>
    </row>
    <row r="193" spans="5:5" ht="15.75" thickBot="1" x14ac:dyDescent="0.3">
      <c r="E193" s="17"/>
    </row>
    <row r="194" spans="5:5" ht="15.75" thickBot="1" x14ac:dyDescent="0.3">
      <c r="E194" s="17"/>
    </row>
    <row r="195" spans="5:5" ht="15.75" thickBot="1" x14ac:dyDescent="0.3">
      <c r="E195" s="17"/>
    </row>
    <row r="196" spans="5:5" ht="15.75" thickBot="1" x14ac:dyDescent="0.3">
      <c r="E196" s="17"/>
    </row>
    <row r="197" spans="5:5" ht="15.75" thickBot="1" x14ac:dyDescent="0.3">
      <c r="E197" s="17"/>
    </row>
    <row r="198" spans="5:5" ht="15.75" thickBot="1" x14ac:dyDescent="0.3">
      <c r="E198" s="17"/>
    </row>
    <row r="199" spans="5:5" ht="15.75" thickBot="1" x14ac:dyDescent="0.3">
      <c r="E199" s="17"/>
    </row>
    <row r="200" spans="5:5" ht="15.75" thickBot="1" x14ac:dyDescent="0.3">
      <c r="E200" s="17"/>
    </row>
    <row r="201" spans="5:5" ht="15.75" thickBot="1" x14ac:dyDescent="0.3">
      <c r="E201" s="17"/>
    </row>
    <row r="202" spans="5:5" ht="15.75" thickBot="1" x14ac:dyDescent="0.3">
      <c r="E202" s="17"/>
    </row>
    <row r="203" spans="5:5" ht="15.75" thickBot="1" x14ac:dyDescent="0.3">
      <c r="E203" s="17"/>
    </row>
    <row r="204" spans="5:5" ht="15.75" thickBot="1" x14ac:dyDescent="0.3">
      <c r="E204" s="17"/>
    </row>
    <row r="205" spans="5:5" ht="15.75" thickBot="1" x14ac:dyDescent="0.3">
      <c r="E205" s="17"/>
    </row>
    <row r="206" spans="5:5" ht="15.75" thickBot="1" x14ac:dyDescent="0.3">
      <c r="E206" s="17"/>
    </row>
    <row r="207" spans="5:5" ht="15.75" thickBot="1" x14ac:dyDescent="0.3">
      <c r="E207" s="17"/>
    </row>
    <row r="208" spans="5:5" ht="15.75" thickBot="1" x14ac:dyDescent="0.3">
      <c r="E208" s="17"/>
    </row>
    <row r="209" spans="5:5" ht="15.75" thickBot="1" x14ac:dyDescent="0.3">
      <c r="E209" s="17"/>
    </row>
    <row r="210" spans="5:5" ht="15.75" thickBot="1" x14ac:dyDescent="0.3">
      <c r="E210" s="17"/>
    </row>
    <row r="211" spans="5:5" ht="15.75" thickBot="1" x14ac:dyDescent="0.3">
      <c r="E211" s="17"/>
    </row>
    <row r="212" spans="5:5" ht="15.75" thickBot="1" x14ac:dyDescent="0.3">
      <c r="E212" s="17"/>
    </row>
    <row r="213" spans="5:5" ht="15.75" thickBot="1" x14ac:dyDescent="0.3">
      <c r="E213" s="17"/>
    </row>
    <row r="214" spans="5:5" ht="15.75" thickBot="1" x14ac:dyDescent="0.3">
      <c r="E214" s="17"/>
    </row>
    <row r="215" spans="5:5" ht="15.75" thickBot="1" x14ac:dyDescent="0.3">
      <c r="E215" s="17"/>
    </row>
    <row r="216" spans="5:5" ht="15.75" thickBot="1" x14ac:dyDescent="0.3">
      <c r="E216" s="17"/>
    </row>
    <row r="217" spans="5:5" ht="15.75" thickBot="1" x14ac:dyDescent="0.3">
      <c r="E217" s="17"/>
    </row>
    <row r="218" spans="5:5" ht="15.75" thickBot="1" x14ac:dyDescent="0.3">
      <c r="E218" s="17"/>
    </row>
    <row r="219" spans="5:5" ht="15.75" thickBot="1" x14ac:dyDescent="0.3">
      <c r="E219" s="17"/>
    </row>
    <row r="220" spans="5:5" ht="15.75" thickBot="1" x14ac:dyDescent="0.3">
      <c r="E220" s="17"/>
    </row>
    <row r="221" spans="5:5" ht="15.75" thickBot="1" x14ac:dyDescent="0.3">
      <c r="E221" s="17"/>
    </row>
    <row r="222" spans="5:5" ht="15.75" thickBot="1" x14ac:dyDescent="0.3">
      <c r="E222" s="17"/>
    </row>
    <row r="223" spans="5:5" ht="15.75" thickBot="1" x14ac:dyDescent="0.3">
      <c r="E223" s="17"/>
    </row>
    <row r="224" spans="5:5" ht="15.75" thickBot="1" x14ac:dyDescent="0.3">
      <c r="E224" s="17"/>
    </row>
    <row r="225" spans="5:5" ht="15.75" thickBot="1" x14ac:dyDescent="0.3">
      <c r="E225" s="17"/>
    </row>
    <row r="226" spans="5:5" ht="15.75" thickBot="1" x14ac:dyDescent="0.3">
      <c r="E226" s="17"/>
    </row>
    <row r="227" spans="5:5" ht="15.75" thickBot="1" x14ac:dyDescent="0.3">
      <c r="E227" s="17"/>
    </row>
    <row r="228" spans="5:5" ht="15.75" thickBot="1" x14ac:dyDescent="0.3">
      <c r="E228" s="17"/>
    </row>
    <row r="229" spans="5:5" ht="15.75" thickBot="1" x14ac:dyDescent="0.3">
      <c r="E229" s="17"/>
    </row>
    <row r="230" spans="5:5" ht="15.75" thickBot="1" x14ac:dyDescent="0.3">
      <c r="E230" s="17"/>
    </row>
    <row r="231" spans="5:5" ht="15.75" thickBot="1" x14ac:dyDescent="0.3">
      <c r="E231" s="17"/>
    </row>
    <row r="232" spans="5:5" ht="15.75" thickBot="1" x14ac:dyDescent="0.3">
      <c r="E232" s="17"/>
    </row>
    <row r="233" spans="5:5" ht="15.75" thickBot="1" x14ac:dyDescent="0.3">
      <c r="E233" s="17"/>
    </row>
    <row r="234" spans="5:5" ht="15.75" thickBot="1" x14ac:dyDescent="0.3">
      <c r="E234" s="17"/>
    </row>
    <row r="235" spans="5:5" ht="15.75" thickBot="1" x14ac:dyDescent="0.3">
      <c r="E235" s="17"/>
    </row>
    <row r="236" spans="5:5" ht="15.75" thickBot="1" x14ac:dyDescent="0.3">
      <c r="E236" s="17"/>
    </row>
    <row r="237" spans="5:5" ht="15.75" thickBot="1" x14ac:dyDescent="0.3">
      <c r="E237" s="17"/>
    </row>
    <row r="238" spans="5:5" ht="15.75" thickBot="1" x14ac:dyDescent="0.3">
      <c r="E238" s="17"/>
    </row>
    <row r="239" spans="5:5" ht="15.75" thickBot="1" x14ac:dyDescent="0.3">
      <c r="E239" s="17"/>
    </row>
    <row r="240" spans="5:5" ht="15.75" thickBot="1" x14ac:dyDescent="0.3">
      <c r="E240" s="17"/>
    </row>
    <row r="241" spans="5:5" ht="15.75" thickBot="1" x14ac:dyDescent="0.3">
      <c r="E241" s="17"/>
    </row>
    <row r="242" spans="5:5" ht="15.75" thickBot="1" x14ac:dyDescent="0.3">
      <c r="E242" s="17"/>
    </row>
    <row r="243" spans="5:5" ht="15.75" thickBot="1" x14ac:dyDescent="0.3">
      <c r="E243" s="17"/>
    </row>
    <row r="244" spans="5:5" ht="15.75" thickBot="1" x14ac:dyDescent="0.3">
      <c r="E244" s="17"/>
    </row>
    <row r="245" spans="5:5" ht="15.75" thickBot="1" x14ac:dyDescent="0.3">
      <c r="E245" s="17"/>
    </row>
    <row r="246" spans="5:5" ht="15.75" thickBot="1" x14ac:dyDescent="0.3">
      <c r="E246" s="17"/>
    </row>
    <row r="247" spans="5:5" ht="15.75" thickBot="1" x14ac:dyDescent="0.3">
      <c r="E247" s="17"/>
    </row>
    <row r="248" spans="5:5" ht="15.75" thickBot="1" x14ac:dyDescent="0.3">
      <c r="E248" s="17"/>
    </row>
    <row r="249" spans="5:5" ht="15.75" thickBot="1" x14ac:dyDescent="0.3">
      <c r="E249" s="17"/>
    </row>
    <row r="250" spans="5:5" ht="15.75" thickBot="1" x14ac:dyDescent="0.3">
      <c r="E250" s="17"/>
    </row>
    <row r="251" spans="5:5" ht="15.75" thickBot="1" x14ac:dyDescent="0.3">
      <c r="E251" s="17"/>
    </row>
    <row r="252" spans="5:5" ht="15.75" thickBot="1" x14ac:dyDescent="0.3">
      <c r="E252" s="17"/>
    </row>
    <row r="253" spans="5:5" ht="15.75" thickBot="1" x14ac:dyDescent="0.3">
      <c r="E253" s="17"/>
    </row>
    <row r="254" spans="5:5" ht="15.75" thickBot="1" x14ac:dyDescent="0.3">
      <c r="E254" s="17"/>
    </row>
    <row r="255" spans="5:5" ht="15.75" thickBot="1" x14ac:dyDescent="0.3">
      <c r="E255" s="17"/>
    </row>
    <row r="256" spans="5:5" ht="15.75" thickBot="1" x14ac:dyDescent="0.3">
      <c r="E256" s="17"/>
    </row>
    <row r="257" spans="5:5" ht="15.75" thickBot="1" x14ac:dyDescent="0.3">
      <c r="E257" s="17"/>
    </row>
    <row r="258" spans="5:5" ht="15.75" thickBot="1" x14ac:dyDescent="0.3">
      <c r="E258" s="17"/>
    </row>
    <row r="259" spans="5:5" ht="15.75" thickBot="1" x14ac:dyDescent="0.3">
      <c r="E259" s="17"/>
    </row>
    <row r="260" spans="5:5" ht="15.75" thickBot="1" x14ac:dyDescent="0.3">
      <c r="E260" s="17"/>
    </row>
    <row r="261" spans="5:5" ht="15.75" thickBot="1" x14ac:dyDescent="0.3">
      <c r="E261" s="17"/>
    </row>
    <row r="262" spans="5:5" ht="15.75" thickBot="1" x14ac:dyDescent="0.3">
      <c r="E262" s="17"/>
    </row>
    <row r="263" spans="5:5" ht="15.75" thickBot="1" x14ac:dyDescent="0.3">
      <c r="E263" s="17"/>
    </row>
    <row r="264" spans="5:5" ht="15.75" thickBot="1" x14ac:dyDescent="0.3">
      <c r="E264" s="17"/>
    </row>
    <row r="265" spans="5:5" ht="15.75" thickBot="1" x14ac:dyDescent="0.3">
      <c r="E265" s="17"/>
    </row>
    <row r="266" spans="5:5" ht="15.75" thickBot="1" x14ac:dyDescent="0.3">
      <c r="E266" s="17"/>
    </row>
    <row r="267" spans="5:5" ht="15.75" thickBot="1" x14ac:dyDescent="0.3">
      <c r="E267" s="17"/>
    </row>
    <row r="268" spans="5:5" ht="15.75" thickBot="1" x14ac:dyDescent="0.3">
      <c r="E268" s="17"/>
    </row>
    <row r="269" spans="5:5" ht="15.75" thickBot="1" x14ac:dyDescent="0.3">
      <c r="E269" s="17"/>
    </row>
    <row r="270" spans="5:5" ht="15.75" thickBot="1" x14ac:dyDescent="0.3">
      <c r="E270" s="17"/>
    </row>
    <row r="271" spans="5:5" ht="15.75" thickBot="1" x14ac:dyDescent="0.3">
      <c r="E271" s="17"/>
    </row>
    <row r="272" spans="5:5" ht="15.75" thickBot="1" x14ac:dyDescent="0.3">
      <c r="E272" s="17"/>
    </row>
    <row r="273" spans="5:5" ht="15.75" thickBot="1" x14ac:dyDescent="0.3">
      <c r="E273" s="17"/>
    </row>
    <row r="274" spans="5:5" ht="15.75" thickBot="1" x14ac:dyDescent="0.3">
      <c r="E274" s="17"/>
    </row>
    <row r="275" spans="5:5" ht="15.75" thickBot="1" x14ac:dyDescent="0.3">
      <c r="E275" s="17"/>
    </row>
    <row r="276" spans="5:5" ht="15.75" thickBot="1" x14ac:dyDescent="0.3">
      <c r="E276" s="17"/>
    </row>
    <row r="277" spans="5:5" ht="15.75" thickBot="1" x14ac:dyDescent="0.3">
      <c r="E277" s="17"/>
    </row>
    <row r="278" spans="5:5" ht="15.75" thickBot="1" x14ac:dyDescent="0.3">
      <c r="E278" s="17"/>
    </row>
    <row r="279" spans="5:5" ht="15.75" thickBot="1" x14ac:dyDescent="0.3">
      <c r="E279" s="17"/>
    </row>
    <row r="280" spans="5:5" ht="15.75" thickBot="1" x14ac:dyDescent="0.3">
      <c r="E280" s="17"/>
    </row>
    <row r="281" spans="5:5" ht="15.75" thickBot="1" x14ac:dyDescent="0.3">
      <c r="E281" s="17"/>
    </row>
    <row r="282" spans="5:5" ht="15.75" thickBot="1" x14ac:dyDescent="0.3">
      <c r="E282" s="17"/>
    </row>
    <row r="283" spans="5:5" ht="15.75" thickBot="1" x14ac:dyDescent="0.3">
      <c r="E283" s="17"/>
    </row>
    <row r="284" spans="5:5" ht="15.75" thickBot="1" x14ac:dyDescent="0.3">
      <c r="E284" s="17"/>
    </row>
    <row r="285" spans="5:5" ht="15.75" thickBot="1" x14ac:dyDescent="0.3">
      <c r="E285" s="17"/>
    </row>
    <row r="286" spans="5:5" ht="15.75" thickBot="1" x14ac:dyDescent="0.3">
      <c r="E286" s="17"/>
    </row>
    <row r="287" spans="5:5" ht="15.75" thickBot="1" x14ac:dyDescent="0.3">
      <c r="E287" s="17"/>
    </row>
    <row r="288" spans="5:5" ht="15.75" thickBot="1" x14ac:dyDescent="0.3">
      <c r="E288" s="17"/>
    </row>
    <row r="289" spans="5:5" ht="15.75" thickBot="1" x14ac:dyDescent="0.3">
      <c r="E289" s="17"/>
    </row>
    <row r="290" spans="5:5" ht="15.75" thickBot="1" x14ac:dyDescent="0.3">
      <c r="E290" s="17"/>
    </row>
    <row r="291" spans="5:5" ht="15.75" thickBot="1" x14ac:dyDescent="0.3">
      <c r="E291" s="17"/>
    </row>
    <row r="292" spans="5:5" ht="15.75" thickBot="1" x14ac:dyDescent="0.3">
      <c r="E292" s="17"/>
    </row>
    <row r="293" spans="5:5" ht="15.75" thickBot="1" x14ac:dyDescent="0.3">
      <c r="E293" s="17"/>
    </row>
    <row r="294" spans="5:5" ht="15.75" thickBot="1" x14ac:dyDescent="0.3">
      <c r="E294" s="17"/>
    </row>
    <row r="295" spans="5:5" ht="15.75" thickBot="1" x14ac:dyDescent="0.3">
      <c r="E295" s="17"/>
    </row>
    <row r="296" spans="5:5" ht="15.75" thickBot="1" x14ac:dyDescent="0.3">
      <c r="E296" s="17"/>
    </row>
    <row r="297" spans="5:5" ht="15.75" thickBot="1" x14ac:dyDescent="0.3">
      <c r="E297" s="17"/>
    </row>
    <row r="298" spans="5:5" ht="15.75" thickBot="1" x14ac:dyDescent="0.3">
      <c r="E298" s="17"/>
    </row>
    <row r="299" spans="5:5" ht="15.75" thickBot="1" x14ac:dyDescent="0.3">
      <c r="E299" s="17"/>
    </row>
    <row r="300" spans="5:5" ht="15.75" thickBot="1" x14ac:dyDescent="0.3">
      <c r="E300" s="17"/>
    </row>
    <row r="301" spans="5:5" ht="15.75" thickBot="1" x14ac:dyDescent="0.3">
      <c r="E301" s="17"/>
    </row>
    <row r="302" spans="5:5" ht="15.75" thickBot="1" x14ac:dyDescent="0.3">
      <c r="E302" s="17"/>
    </row>
    <row r="303" spans="5:5" ht="15.75" thickBot="1" x14ac:dyDescent="0.3">
      <c r="E303" s="17"/>
    </row>
    <row r="304" spans="5:5" ht="15.75" thickBot="1" x14ac:dyDescent="0.3">
      <c r="E304" s="17"/>
    </row>
    <row r="305" spans="5:5" ht="15.75" thickBot="1" x14ac:dyDescent="0.3">
      <c r="E305" s="17"/>
    </row>
    <row r="306" spans="5:5" ht="15.75" thickBot="1" x14ac:dyDescent="0.3">
      <c r="E306" s="17"/>
    </row>
    <row r="307" spans="5:5" ht="15.75" thickBot="1" x14ac:dyDescent="0.3">
      <c r="E307" s="17"/>
    </row>
    <row r="308" spans="5:5" ht="15.75" thickBot="1" x14ac:dyDescent="0.3">
      <c r="E308" s="17"/>
    </row>
    <row r="309" spans="5:5" ht="15.75" thickBot="1" x14ac:dyDescent="0.3">
      <c r="E309" s="17"/>
    </row>
    <row r="310" spans="5:5" ht="15.75" thickBot="1" x14ac:dyDescent="0.3">
      <c r="E310" s="17"/>
    </row>
    <row r="311" spans="5:5" ht="15.75" thickBot="1" x14ac:dyDescent="0.3">
      <c r="E311" s="17"/>
    </row>
    <row r="312" spans="5:5" ht="15.75" thickBot="1" x14ac:dyDescent="0.3">
      <c r="E312" s="17"/>
    </row>
    <row r="313" spans="5:5" ht="15.75" thickBot="1" x14ac:dyDescent="0.3">
      <c r="E313" s="17"/>
    </row>
    <row r="314" spans="5:5" ht="15.75" thickBot="1" x14ac:dyDescent="0.3">
      <c r="E314" s="17"/>
    </row>
    <row r="315" spans="5:5" ht="15.75" thickBot="1" x14ac:dyDescent="0.3">
      <c r="E315" s="17"/>
    </row>
    <row r="316" spans="5:5" ht="15.75" thickBot="1" x14ac:dyDescent="0.3">
      <c r="E316" s="17"/>
    </row>
    <row r="317" spans="5:5" ht="15.75" thickBot="1" x14ac:dyDescent="0.3">
      <c r="E317" s="17"/>
    </row>
    <row r="318" spans="5:5" ht="15.75" thickBot="1" x14ac:dyDescent="0.3">
      <c r="E318" s="17"/>
    </row>
    <row r="319" spans="5:5" ht="15.75" thickBot="1" x14ac:dyDescent="0.3">
      <c r="E319" s="17"/>
    </row>
    <row r="320" spans="5:5" ht="15.75" thickBot="1" x14ac:dyDescent="0.3">
      <c r="E320" s="17"/>
    </row>
    <row r="321" spans="5:5" ht="15.75" thickBot="1" x14ac:dyDescent="0.3">
      <c r="E321" s="17"/>
    </row>
    <row r="322" spans="5:5" ht="15.75" thickBot="1" x14ac:dyDescent="0.3">
      <c r="E322" s="17"/>
    </row>
    <row r="323" spans="5:5" ht="15.75" thickBot="1" x14ac:dyDescent="0.3">
      <c r="E323" s="17"/>
    </row>
    <row r="324" spans="5:5" ht="15.75" thickBot="1" x14ac:dyDescent="0.3">
      <c r="E324" s="17"/>
    </row>
    <row r="325" spans="5:5" ht="15.75" thickBot="1" x14ac:dyDescent="0.3">
      <c r="E325" s="17"/>
    </row>
    <row r="326" spans="5:5" ht="15.75" thickBot="1" x14ac:dyDescent="0.3">
      <c r="E326" s="17"/>
    </row>
    <row r="327" spans="5:5" ht="15.75" thickBot="1" x14ac:dyDescent="0.3">
      <c r="E327" s="17"/>
    </row>
    <row r="328" spans="5:5" ht="15.75" thickBot="1" x14ac:dyDescent="0.3">
      <c r="E328" s="17"/>
    </row>
    <row r="329" spans="5:5" ht="15.75" thickBot="1" x14ac:dyDescent="0.3">
      <c r="E329" s="17"/>
    </row>
    <row r="330" spans="5:5" ht="15.75" thickBot="1" x14ac:dyDescent="0.3">
      <c r="E330" s="17"/>
    </row>
    <row r="331" spans="5:5" ht="15.75" thickBot="1" x14ac:dyDescent="0.3">
      <c r="E331" s="17"/>
    </row>
    <row r="332" spans="5:5" ht="15.75" thickBot="1" x14ac:dyDescent="0.3">
      <c r="E332" s="17"/>
    </row>
    <row r="333" spans="5:5" ht="15.75" thickBot="1" x14ac:dyDescent="0.3">
      <c r="E333" s="17"/>
    </row>
    <row r="334" spans="5:5" ht="15.75" thickBot="1" x14ac:dyDescent="0.3">
      <c r="E334" s="17"/>
    </row>
    <row r="335" spans="5:5" ht="15.75" thickBot="1" x14ac:dyDescent="0.3">
      <c r="E335" s="17"/>
    </row>
    <row r="336" spans="5:5" ht="15.75" thickBot="1" x14ac:dyDescent="0.3">
      <c r="E336" s="17"/>
    </row>
    <row r="337" spans="5:5" ht="15.75" thickBot="1" x14ac:dyDescent="0.3">
      <c r="E337" s="17"/>
    </row>
    <row r="338" spans="5:5" ht="15.75" thickBot="1" x14ac:dyDescent="0.3">
      <c r="E338" s="17"/>
    </row>
    <row r="339" spans="5:5" ht="15.75" thickBot="1" x14ac:dyDescent="0.3">
      <c r="E339" s="17"/>
    </row>
    <row r="340" spans="5:5" ht="15.75" thickBot="1" x14ac:dyDescent="0.3">
      <c r="E340" s="17"/>
    </row>
    <row r="341" spans="5:5" ht="15.75" thickBot="1" x14ac:dyDescent="0.3">
      <c r="E341" s="17"/>
    </row>
    <row r="342" spans="5:5" ht="15.75" thickBot="1" x14ac:dyDescent="0.3">
      <c r="E342" s="17"/>
    </row>
    <row r="343" spans="5:5" ht="15.75" thickBot="1" x14ac:dyDescent="0.3">
      <c r="E343" s="17"/>
    </row>
    <row r="344" spans="5:5" ht="15.75" thickBot="1" x14ac:dyDescent="0.3">
      <c r="E344" s="17"/>
    </row>
    <row r="345" spans="5:5" ht="15.75" thickBot="1" x14ac:dyDescent="0.3">
      <c r="E345" s="17"/>
    </row>
    <row r="346" spans="5:5" ht="15.75" thickBot="1" x14ac:dyDescent="0.3">
      <c r="E346" s="17"/>
    </row>
    <row r="347" spans="5:5" ht="15.75" thickBot="1" x14ac:dyDescent="0.3">
      <c r="E347" s="17"/>
    </row>
    <row r="348" spans="5:5" ht="15.75" thickBot="1" x14ac:dyDescent="0.3">
      <c r="E348" s="17"/>
    </row>
    <row r="349" spans="5:5" ht="15.75" thickBot="1" x14ac:dyDescent="0.3">
      <c r="E349" s="17"/>
    </row>
    <row r="350" spans="5:5" ht="15.75" thickBot="1" x14ac:dyDescent="0.3">
      <c r="E350" s="17"/>
    </row>
    <row r="351" spans="5:5" ht="15.75" thickBot="1" x14ac:dyDescent="0.3">
      <c r="E351" s="17"/>
    </row>
    <row r="352" spans="5:5" ht="15.75" thickBot="1" x14ac:dyDescent="0.3">
      <c r="E352" s="17"/>
    </row>
    <row r="353" spans="5:5" ht="15.75" thickBot="1" x14ac:dyDescent="0.3">
      <c r="E353" s="17"/>
    </row>
    <row r="354" spans="5:5" ht="15.75" thickBot="1" x14ac:dyDescent="0.3">
      <c r="E354" s="17"/>
    </row>
    <row r="355" spans="5:5" ht="15.75" thickBot="1" x14ac:dyDescent="0.3">
      <c r="E355" s="17"/>
    </row>
    <row r="356" spans="5:5" ht="15.75" thickBot="1" x14ac:dyDescent="0.3">
      <c r="E356" s="17"/>
    </row>
    <row r="357" spans="5:5" ht="15.75" thickBot="1" x14ac:dyDescent="0.3">
      <c r="E357" s="17"/>
    </row>
    <row r="358" spans="5:5" ht="15.75" thickBot="1" x14ac:dyDescent="0.3">
      <c r="E358" s="17"/>
    </row>
    <row r="359" spans="5:5" ht="15.75" thickBot="1" x14ac:dyDescent="0.3">
      <c r="E359" s="17"/>
    </row>
    <row r="360" spans="5:5" ht="15.75" thickBot="1" x14ac:dyDescent="0.3">
      <c r="E360" s="17"/>
    </row>
    <row r="361" spans="5:5" ht="15.75" thickBot="1" x14ac:dyDescent="0.3">
      <c r="E361" s="17"/>
    </row>
    <row r="362" spans="5:5" ht="15.75" thickBot="1" x14ac:dyDescent="0.3">
      <c r="E362" s="17"/>
    </row>
    <row r="363" spans="5:5" ht="15.75" thickBot="1" x14ac:dyDescent="0.3">
      <c r="E363" s="17"/>
    </row>
    <row r="364" spans="5:5" ht="15.75" thickBot="1" x14ac:dyDescent="0.3">
      <c r="E364" s="17"/>
    </row>
    <row r="365" spans="5:5" ht="15.75" thickBot="1" x14ac:dyDescent="0.3">
      <c r="E365" s="17"/>
    </row>
    <row r="366" spans="5:5" ht="15.75" thickBot="1" x14ac:dyDescent="0.3">
      <c r="E366" s="17"/>
    </row>
    <row r="367" spans="5:5" ht="15.75" thickBot="1" x14ac:dyDescent="0.3">
      <c r="E367" s="17"/>
    </row>
    <row r="368" spans="5:5" ht="15.75" thickBot="1" x14ac:dyDescent="0.3">
      <c r="E368" s="17"/>
    </row>
    <row r="369" spans="5:5" ht="15.75" thickBot="1" x14ac:dyDescent="0.3">
      <c r="E369" s="17"/>
    </row>
    <row r="370" spans="5:5" ht="15.75" thickBot="1" x14ac:dyDescent="0.3">
      <c r="E370" s="17"/>
    </row>
    <row r="371" spans="5:5" ht="15.75" thickBot="1" x14ac:dyDescent="0.3">
      <c r="E371" s="17"/>
    </row>
    <row r="372" spans="5:5" ht="15.75" thickBot="1" x14ac:dyDescent="0.3">
      <c r="E372" s="17"/>
    </row>
    <row r="373" spans="5:5" ht="15.75" thickBot="1" x14ac:dyDescent="0.3">
      <c r="E373" s="17"/>
    </row>
    <row r="374" spans="5:5" ht="15.75" thickBot="1" x14ac:dyDescent="0.3">
      <c r="E374" s="17"/>
    </row>
    <row r="375" spans="5:5" ht="15.75" thickBot="1" x14ac:dyDescent="0.3">
      <c r="E375" s="17"/>
    </row>
    <row r="376" spans="5:5" ht="15.75" thickBot="1" x14ac:dyDescent="0.3">
      <c r="E376" s="17"/>
    </row>
    <row r="377" spans="5:5" ht="15.75" thickBot="1" x14ac:dyDescent="0.3">
      <c r="E377" s="17"/>
    </row>
    <row r="378" spans="5:5" ht="15.75" thickBot="1" x14ac:dyDescent="0.3">
      <c r="E378" s="17"/>
    </row>
    <row r="379" spans="5:5" ht="15.75" thickBot="1" x14ac:dyDescent="0.3">
      <c r="E379" s="17"/>
    </row>
    <row r="380" spans="5:5" ht="15.75" thickBot="1" x14ac:dyDescent="0.3">
      <c r="E380" s="17"/>
    </row>
    <row r="381" spans="5:5" ht="15.75" thickBot="1" x14ac:dyDescent="0.3">
      <c r="E381" s="17"/>
    </row>
    <row r="382" spans="5:5" ht="15.75" thickBot="1" x14ac:dyDescent="0.3">
      <c r="E382" s="17"/>
    </row>
    <row r="383" spans="5:5" ht="15.75" thickBot="1" x14ac:dyDescent="0.3">
      <c r="E383" s="17"/>
    </row>
    <row r="384" spans="5:5" ht="15.75" thickBot="1" x14ac:dyDescent="0.3">
      <c r="E384" s="17"/>
    </row>
    <row r="385" spans="5:5" ht="15.75" thickBot="1" x14ac:dyDescent="0.3">
      <c r="E385" s="17"/>
    </row>
    <row r="386" spans="5:5" ht="15.75" thickBot="1" x14ac:dyDescent="0.3">
      <c r="E386" s="17"/>
    </row>
    <row r="387" spans="5:5" ht="15.75" thickBot="1" x14ac:dyDescent="0.3">
      <c r="E387" s="17"/>
    </row>
    <row r="388" spans="5:5" ht="15.75" thickBot="1" x14ac:dyDescent="0.3">
      <c r="E388" s="17"/>
    </row>
    <row r="389" spans="5:5" ht="15.75" thickBot="1" x14ac:dyDescent="0.3">
      <c r="E389" s="17"/>
    </row>
    <row r="390" spans="5:5" ht="15.75" thickBot="1" x14ac:dyDescent="0.3">
      <c r="E390" s="17"/>
    </row>
    <row r="391" spans="5:5" ht="15.75" thickBot="1" x14ac:dyDescent="0.3">
      <c r="E391" s="17"/>
    </row>
    <row r="392" spans="5:5" ht="15.75" thickBot="1" x14ac:dyDescent="0.3">
      <c r="E392" s="17"/>
    </row>
    <row r="393" spans="5:5" ht="15.75" thickBot="1" x14ac:dyDescent="0.3">
      <c r="E393" s="17"/>
    </row>
    <row r="394" spans="5:5" ht="15.75" thickBot="1" x14ac:dyDescent="0.3">
      <c r="E394" s="17"/>
    </row>
    <row r="395" spans="5:5" ht="15.75" thickBot="1" x14ac:dyDescent="0.3">
      <c r="E395" s="17"/>
    </row>
    <row r="396" spans="5:5" ht="15.75" thickBot="1" x14ac:dyDescent="0.3">
      <c r="E396" s="17"/>
    </row>
    <row r="397" spans="5:5" ht="15.75" thickBot="1" x14ac:dyDescent="0.3">
      <c r="E397" s="17"/>
    </row>
    <row r="398" spans="5:5" ht="15.75" thickBot="1" x14ac:dyDescent="0.3">
      <c r="E398" s="17"/>
    </row>
    <row r="399" spans="5:5" ht="15.75" thickBot="1" x14ac:dyDescent="0.3">
      <c r="E399" s="17"/>
    </row>
    <row r="400" spans="5:5" ht="15.75" thickBot="1" x14ac:dyDescent="0.3">
      <c r="E400" s="17"/>
    </row>
    <row r="401" spans="5:5" ht="15.75" thickBot="1" x14ac:dyDescent="0.3">
      <c r="E401" s="17"/>
    </row>
    <row r="402" spans="5:5" ht="15.75" thickBot="1" x14ac:dyDescent="0.3">
      <c r="E402" s="17"/>
    </row>
    <row r="403" spans="5:5" ht="15.75" thickBot="1" x14ac:dyDescent="0.3">
      <c r="E403" s="17"/>
    </row>
    <row r="404" spans="5:5" ht="15.75" thickBot="1" x14ac:dyDescent="0.3">
      <c r="E404" s="17"/>
    </row>
    <row r="405" spans="5:5" ht="15.75" thickBot="1" x14ac:dyDescent="0.3">
      <c r="E405" s="17"/>
    </row>
    <row r="406" spans="5:5" ht="15.75" thickBot="1" x14ac:dyDescent="0.3">
      <c r="E406" s="17"/>
    </row>
    <row r="407" spans="5:5" ht="15.75" thickBot="1" x14ac:dyDescent="0.3">
      <c r="E407" s="17"/>
    </row>
    <row r="408" spans="5:5" ht="15.75" thickBot="1" x14ac:dyDescent="0.3">
      <c r="E408" s="17"/>
    </row>
    <row r="409" spans="5:5" ht="15.75" thickBot="1" x14ac:dyDescent="0.3">
      <c r="E409" s="17"/>
    </row>
    <row r="410" spans="5:5" ht="15.75" thickBot="1" x14ac:dyDescent="0.3">
      <c r="E410" s="17"/>
    </row>
    <row r="411" spans="5:5" ht="15.75" thickBot="1" x14ac:dyDescent="0.3">
      <c r="E411" s="17"/>
    </row>
    <row r="412" spans="5:5" ht="15.75" thickBot="1" x14ac:dyDescent="0.3">
      <c r="E412" s="17"/>
    </row>
    <row r="413" spans="5:5" ht="15.75" thickBot="1" x14ac:dyDescent="0.3">
      <c r="E413" s="17"/>
    </row>
    <row r="414" spans="5:5" ht="15.75" thickBot="1" x14ac:dyDescent="0.3">
      <c r="E414" s="17"/>
    </row>
    <row r="415" spans="5:5" ht="15.75" thickBot="1" x14ac:dyDescent="0.3">
      <c r="E415" s="17"/>
    </row>
    <row r="416" spans="5:5" ht="15.75" thickBot="1" x14ac:dyDescent="0.3">
      <c r="E416" s="17"/>
    </row>
    <row r="417" spans="5:5" ht="15.75" thickBot="1" x14ac:dyDescent="0.3">
      <c r="E417" s="17"/>
    </row>
    <row r="418" spans="5:5" ht="15.75" thickBot="1" x14ac:dyDescent="0.3">
      <c r="E418" s="17"/>
    </row>
    <row r="419" spans="5:5" ht="15.75" thickBot="1" x14ac:dyDescent="0.3">
      <c r="E419" s="17"/>
    </row>
    <row r="420" spans="5:5" ht="15.75" thickBot="1" x14ac:dyDescent="0.3">
      <c r="E420" s="17"/>
    </row>
    <row r="421" spans="5:5" ht="15.75" thickBot="1" x14ac:dyDescent="0.3">
      <c r="E421" s="17"/>
    </row>
    <row r="422" spans="5:5" ht="15.75" thickBot="1" x14ac:dyDescent="0.3">
      <c r="E422" s="17"/>
    </row>
    <row r="423" spans="5:5" ht="15.75" thickBot="1" x14ac:dyDescent="0.3">
      <c r="E423" s="17"/>
    </row>
    <row r="424" spans="5:5" ht="15.75" thickBot="1" x14ac:dyDescent="0.3">
      <c r="E424" s="17"/>
    </row>
    <row r="425" spans="5:5" ht="15.75" thickBot="1" x14ac:dyDescent="0.3">
      <c r="E425" s="17"/>
    </row>
    <row r="426" spans="5:5" ht="15.75" thickBot="1" x14ac:dyDescent="0.3">
      <c r="E426" s="17"/>
    </row>
    <row r="427" spans="5:5" ht="15.75" thickBot="1" x14ac:dyDescent="0.3">
      <c r="E427" s="17"/>
    </row>
    <row r="428" spans="5:5" ht="15.75" thickBot="1" x14ac:dyDescent="0.3">
      <c r="E428" s="17"/>
    </row>
    <row r="429" spans="5:5" ht="15.75" thickBot="1" x14ac:dyDescent="0.3">
      <c r="E429" s="17"/>
    </row>
    <row r="430" spans="5:5" ht="15.75" thickBot="1" x14ac:dyDescent="0.3">
      <c r="E430" s="17"/>
    </row>
    <row r="431" spans="5:5" ht="15.75" thickBot="1" x14ac:dyDescent="0.3">
      <c r="E431" s="17"/>
    </row>
    <row r="432" spans="5:5" ht="15.75" thickBot="1" x14ac:dyDescent="0.3">
      <c r="E432" s="17"/>
    </row>
    <row r="433" spans="5:5" ht="15.75" thickBot="1" x14ac:dyDescent="0.3">
      <c r="E433" s="17"/>
    </row>
    <row r="434" spans="5:5" ht="15.75" thickBot="1" x14ac:dyDescent="0.3">
      <c r="E434" s="17"/>
    </row>
    <row r="435" spans="5:5" ht="15.75" thickBot="1" x14ac:dyDescent="0.3">
      <c r="E435" s="17"/>
    </row>
    <row r="436" spans="5:5" ht="15.75" thickBot="1" x14ac:dyDescent="0.3">
      <c r="E436" s="17"/>
    </row>
    <row r="437" spans="5:5" ht="15.75" thickBot="1" x14ac:dyDescent="0.3">
      <c r="E437" s="17"/>
    </row>
    <row r="438" spans="5:5" ht="15.75" thickBot="1" x14ac:dyDescent="0.3">
      <c r="E438" s="17"/>
    </row>
    <row r="439" spans="5:5" ht="15.75" thickBot="1" x14ac:dyDescent="0.3">
      <c r="E439" s="17"/>
    </row>
    <row r="440" spans="5:5" ht="15.75" thickBot="1" x14ac:dyDescent="0.3">
      <c r="E440" s="17"/>
    </row>
    <row r="441" spans="5:5" ht="15.75" thickBot="1" x14ac:dyDescent="0.3">
      <c r="E441" s="17"/>
    </row>
    <row r="442" spans="5:5" ht="15.75" thickBot="1" x14ac:dyDescent="0.3">
      <c r="E442" s="17"/>
    </row>
    <row r="443" spans="5:5" ht="15.75" thickBot="1" x14ac:dyDescent="0.3">
      <c r="E443" s="17"/>
    </row>
    <row r="444" spans="5:5" ht="15.75" thickBot="1" x14ac:dyDescent="0.3">
      <c r="E444" s="17"/>
    </row>
    <row r="445" spans="5:5" ht="15.75" thickBot="1" x14ac:dyDescent="0.3">
      <c r="E445" s="17"/>
    </row>
    <row r="446" spans="5:5" ht="15.75" thickBot="1" x14ac:dyDescent="0.3">
      <c r="E446" s="17"/>
    </row>
    <row r="447" spans="5:5" ht="15.75" thickBot="1" x14ac:dyDescent="0.3">
      <c r="E447" s="17"/>
    </row>
    <row r="448" spans="5:5" ht="15.75" thickBot="1" x14ac:dyDescent="0.3">
      <c r="E448" s="17"/>
    </row>
    <row r="449" spans="5:5" ht="15.75" thickBot="1" x14ac:dyDescent="0.3">
      <c r="E449" s="17"/>
    </row>
    <row r="450" spans="5:5" ht="15.75" thickBot="1" x14ac:dyDescent="0.3">
      <c r="E450" s="17"/>
    </row>
    <row r="451" spans="5:5" ht="15.75" thickBot="1" x14ac:dyDescent="0.3">
      <c r="E451" s="17"/>
    </row>
    <row r="452" spans="5:5" ht="15.75" thickBot="1" x14ac:dyDescent="0.3">
      <c r="E452" s="17"/>
    </row>
    <row r="453" spans="5:5" ht="15.75" thickBot="1" x14ac:dyDescent="0.3">
      <c r="E453" s="17"/>
    </row>
    <row r="454" spans="5:5" ht="15.75" thickBot="1" x14ac:dyDescent="0.3">
      <c r="E454" s="17"/>
    </row>
    <row r="455" spans="5:5" ht="15.75" thickBot="1" x14ac:dyDescent="0.3">
      <c r="E455" s="17"/>
    </row>
    <row r="456" spans="5:5" ht="15.75" thickBot="1" x14ac:dyDescent="0.3">
      <c r="E456" s="17"/>
    </row>
    <row r="457" spans="5:5" ht="15.75" thickBot="1" x14ac:dyDescent="0.3">
      <c r="E457" s="17"/>
    </row>
    <row r="458" spans="5:5" ht="15.75" thickBot="1" x14ac:dyDescent="0.3">
      <c r="E458" s="17"/>
    </row>
    <row r="459" spans="5:5" ht="15.75" thickBot="1" x14ac:dyDescent="0.3">
      <c r="E459" s="17"/>
    </row>
    <row r="460" spans="5:5" ht="15.75" thickBot="1" x14ac:dyDescent="0.3">
      <c r="E460" s="17"/>
    </row>
    <row r="461" spans="5:5" ht="15.75" thickBot="1" x14ac:dyDescent="0.3">
      <c r="E461" s="17"/>
    </row>
    <row r="462" spans="5:5" ht="15.75" thickBot="1" x14ac:dyDescent="0.3">
      <c r="E462" s="17"/>
    </row>
    <row r="463" spans="5:5" ht="15.75" thickBot="1" x14ac:dyDescent="0.3">
      <c r="E463" s="17"/>
    </row>
    <row r="464" spans="5:5" ht="15.75" thickBot="1" x14ac:dyDescent="0.3">
      <c r="E464" s="17"/>
    </row>
    <row r="465" spans="5:5" ht="15.75" thickBot="1" x14ac:dyDescent="0.3">
      <c r="E465" s="17"/>
    </row>
    <row r="466" spans="5:5" ht="15.75" thickBot="1" x14ac:dyDescent="0.3">
      <c r="E466" s="17"/>
    </row>
    <row r="467" spans="5:5" ht="15.75" thickBot="1" x14ac:dyDescent="0.3">
      <c r="E467" s="17"/>
    </row>
    <row r="468" spans="5:5" ht="15.75" thickBot="1" x14ac:dyDescent="0.3">
      <c r="E468" s="17"/>
    </row>
    <row r="469" spans="5:5" ht="15.75" thickBot="1" x14ac:dyDescent="0.3">
      <c r="E469" s="17"/>
    </row>
    <row r="470" spans="5:5" ht="15.75" thickBot="1" x14ac:dyDescent="0.3">
      <c r="E470" s="17"/>
    </row>
    <row r="471" spans="5:5" ht="15.75" thickBot="1" x14ac:dyDescent="0.3">
      <c r="E471" s="17"/>
    </row>
    <row r="472" spans="5:5" ht="15.75" thickBot="1" x14ac:dyDescent="0.3">
      <c r="E472" s="17"/>
    </row>
    <row r="473" spans="5:5" ht="15.75" thickBot="1" x14ac:dyDescent="0.3">
      <c r="E473" s="17"/>
    </row>
    <row r="474" spans="5:5" ht="15.75" thickBot="1" x14ac:dyDescent="0.3">
      <c r="E474" s="17"/>
    </row>
    <row r="475" spans="5:5" ht="15.75" thickBot="1" x14ac:dyDescent="0.3">
      <c r="E475" s="17"/>
    </row>
    <row r="476" spans="5:5" ht="15.75" thickBot="1" x14ac:dyDescent="0.3">
      <c r="E476" s="17"/>
    </row>
    <row r="477" spans="5:5" ht="15.75" thickBot="1" x14ac:dyDescent="0.3">
      <c r="E477" s="17"/>
    </row>
    <row r="478" spans="5:5" ht="15.75" thickBot="1" x14ac:dyDescent="0.3">
      <c r="E478" s="17"/>
    </row>
    <row r="479" spans="5:5" ht="15.75" thickBot="1" x14ac:dyDescent="0.3">
      <c r="E479" s="17"/>
    </row>
    <row r="480" spans="5:5" ht="15.75" thickBot="1" x14ac:dyDescent="0.3">
      <c r="E480" s="17"/>
    </row>
    <row r="481" spans="5:5" ht="15.75" thickBot="1" x14ac:dyDescent="0.3">
      <c r="E481" s="17"/>
    </row>
    <row r="482" spans="5:5" ht="15.75" thickBot="1" x14ac:dyDescent="0.3">
      <c r="E482" s="17"/>
    </row>
    <row r="483" spans="5:5" ht="15.75" thickBot="1" x14ac:dyDescent="0.3">
      <c r="E483" s="17"/>
    </row>
    <row r="484" spans="5:5" ht="15.75" thickBot="1" x14ac:dyDescent="0.3">
      <c r="E484" s="17"/>
    </row>
    <row r="485" spans="5:5" ht="15.75" thickBot="1" x14ac:dyDescent="0.3">
      <c r="E485" s="17"/>
    </row>
    <row r="486" spans="5:5" ht="15.75" thickBot="1" x14ac:dyDescent="0.3">
      <c r="E486" s="17"/>
    </row>
    <row r="487" spans="5:5" ht="15.75" thickBot="1" x14ac:dyDescent="0.3">
      <c r="E487" s="17"/>
    </row>
    <row r="488" spans="5:5" ht="15.75" thickBot="1" x14ac:dyDescent="0.3">
      <c r="E488" s="17"/>
    </row>
    <row r="489" spans="5:5" ht="15.75" thickBot="1" x14ac:dyDescent="0.3">
      <c r="E489" s="17"/>
    </row>
    <row r="490" spans="5:5" ht="15.75" thickBot="1" x14ac:dyDescent="0.3">
      <c r="E490" s="17"/>
    </row>
    <row r="491" spans="5:5" ht="15.75" thickBot="1" x14ac:dyDescent="0.3">
      <c r="E491" s="17"/>
    </row>
    <row r="492" spans="5:5" ht="15.75" thickBot="1" x14ac:dyDescent="0.3">
      <c r="E492" s="17"/>
    </row>
    <row r="493" spans="5:5" ht="15.75" thickBot="1" x14ac:dyDescent="0.3">
      <c r="E493" s="17"/>
    </row>
    <row r="494" spans="5:5" ht="15.75" thickBot="1" x14ac:dyDescent="0.3">
      <c r="E494" s="17"/>
    </row>
    <row r="495" spans="5:5" ht="15.75" thickBot="1" x14ac:dyDescent="0.3">
      <c r="E495" s="17"/>
    </row>
    <row r="496" spans="5:5" ht="15.75" thickBot="1" x14ac:dyDescent="0.3">
      <c r="E496" s="17"/>
    </row>
    <row r="497" spans="5:5" ht="15.75" thickBot="1" x14ac:dyDescent="0.3">
      <c r="E497" s="17"/>
    </row>
    <row r="498" spans="5:5" ht="15.75" thickBot="1" x14ac:dyDescent="0.3">
      <c r="E498" s="17"/>
    </row>
    <row r="499" spans="5:5" ht="15.75" thickBot="1" x14ac:dyDescent="0.3">
      <c r="E499" s="17"/>
    </row>
    <row r="500" spans="5:5" ht="15.75" thickBot="1" x14ac:dyDescent="0.3">
      <c r="E500" s="17"/>
    </row>
    <row r="501" spans="5:5" ht="15.75" thickBot="1" x14ac:dyDescent="0.3">
      <c r="E501" s="17"/>
    </row>
    <row r="502" spans="5:5" ht="15.75" thickBot="1" x14ac:dyDescent="0.3">
      <c r="E502" s="17"/>
    </row>
    <row r="503" spans="5:5" ht="15.75" thickBot="1" x14ac:dyDescent="0.3">
      <c r="E503" s="17"/>
    </row>
    <row r="504" spans="5:5" ht="15.75" thickBot="1" x14ac:dyDescent="0.3">
      <c r="E504" s="17"/>
    </row>
    <row r="505" spans="5:5" ht="15.75" thickBot="1" x14ac:dyDescent="0.3">
      <c r="E505" s="17"/>
    </row>
    <row r="506" spans="5:5" ht="15.75" thickBot="1" x14ac:dyDescent="0.3">
      <c r="E506" s="17"/>
    </row>
    <row r="507" spans="5:5" ht="15.75" thickBot="1" x14ac:dyDescent="0.3">
      <c r="E507" s="17"/>
    </row>
    <row r="508" spans="5:5" ht="15.75" thickBot="1" x14ac:dyDescent="0.3">
      <c r="E508" s="17"/>
    </row>
    <row r="509" spans="5:5" ht="15.75" thickBot="1" x14ac:dyDescent="0.3">
      <c r="E509" s="17"/>
    </row>
    <row r="510" spans="5:5" ht="15.75" thickBot="1" x14ac:dyDescent="0.3">
      <c r="E510" s="17"/>
    </row>
    <row r="511" spans="5:5" ht="15.75" thickBot="1" x14ac:dyDescent="0.3">
      <c r="E511" s="17"/>
    </row>
    <row r="512" spans="5:5" ht="15.75" thickBot="1" x14ac:dyDescent="0.3">
      <c r="E512" s="17"/>
    </row>
    <row r="513" spans="5:5" ht="15.75" thickBot="1" x14ac:dyDescent="0.3">
      <c r="E513" s="17"/>
    </row>
    <row r="514" spans="5:5" ht="15.75" thickBot="1" x14ac:dyDescent="0.3">
      <c r="E514" s="17"/>
    </row>
    <row r="515" spans="5:5" ht="15.75" thickBot="1" x14ac:dyDescent="0.3">
      <c r="E515" s="17"/>
    </row>
    <row r="516" spans="5:5" ht="15.75" thickBot="1" x14ac:dyDescent="0.3">
      <c r="E516" s="17"/>
    </row>
    <row r="517" spans="5:5" ht="15.75" thickBot="1" x14ac:dyDescent="0.3">
      <c r="E517" s="17"/>
    </row>
    <row r="518" spans="5:5" ht="15.75" thickBot="1" x14ac:dyDescent="0.3">
      <c r="E518" s="17"/>
    </row>
    <row r="519" spans="5:5" ht="15.75" thickBot="1" x14ac:dyDescent="0.3">
      <c r="E519" s="17"/>
    </row>
    <row r="520" spans="5:5" ht="15.75" thickBot="1" x14ac:dyDescent="0.3">
      <c r="E520" s="17"/>
    </row>
    <row r="521" spans="5:5" ht="15.75" thickBot="1" x14ac:dyDescent="0.3">
      <c r="E521" s="17"/>
    </row>
    <row r="522" spans="5:5" ht="15.75" thickBot="1" x14ac:dyDescent="0.3">
      <c r="E522" s="17"/>
    </row>
    <row r="523" spans="5:5" ht="15.75" thickBot="1" x14ac:dyDescent="0.3">
      <c r="E523" s="17"/>
    </row>
    <row r="524" spans="5:5" ht="15.75" thickBot="1" x14ac:dyDescent="0.3">
      <c r="E524" s="17"/>
    </row>
    <row r="525" spans="5:5" ht="15.75" thickBot="1" x14ac:dyDescent="0.3">
      <c r="E525" s="17"/>
    </row>
    <row r="526" spans="5:5" ht="15.75" thickBot="1" x14ac:dyDescent="0.3">
      <c r="E526" s="17"/>
    </row>
    <row r="527" spans="5:5" ht="15.75" thickBot="1" x14ac:dyDescent="0.3">
      <c r="E527" s="17"/>
    </row>
    <row r="528" spans="5:5" ht="15.75" thickBot="1" x14ac:dyDescent="0.3">
      <c r="E528" s="17"/>
    </row>
    <row r="529" spans="5:5" ht="15.75" thickBot="1" x14ac:dyDescent="0.3">
      <c r="E529" s="17"/>
    </row>
    <row r="530" spans="5:5" ht="15.75" thickBot="1" x14ac:dyDescent="0.3">
      <c r="E530" s="17"/>
    </row>
    <row r="531" spans="5:5" ht="15.75" thickBot="1" x14ac:dyDescent="0.3">
      <c r="E531" s="17"/>
    </row>
    <row r="532" spans="5:5" ht="15.75" thickBot="1" x14ac:dyDescent="0.3">
      <c r="E532" s="17"/>
    </row>
    <row r="533" spans="5:5" ht="15.75" thickBot="1" x14ac:dyDescent="0.3">
      <c r="E533" s="17"/>
    </row>
    <row r="534" spans="5:5" ht="15.75" thickBot="1" x14ac:dyDescent="0.3">
      <c r="E534" s="17"/>
    </row>
    <row r="535" spans="5:5" ht="15.75" thickBot="1" x14ac:dyDescent="0.3">
      <c r="E535" s="17"/>
    </row>
    <row r="536" spans="5:5" ht="15.75" thickBot="1" x14ac:dyDescent="0.3">
      <c r="E536" s="17"/>
    </row>
    <row r="537" spans="5:5" ht="15.75" thickBot="1" x14ac:dyDescent="0.3">
      <c r="E537" s="17"/>
    </row>
    <row r="538" spans="5:5" ht="15.75" thickBot="1" x14ac:dyDescent="0.3">
      <c r="E538" s="17"/>
    </row>
    <row r="539" spans="5:5" ht="15.75" thickBot="1" x14ac:dyDescent="0.3">
      <c r="E539" s="17"/>
    </row>
    <row r="540" spans="5:5" ht="15.75" thickBot="1" x14ac:dyDescent="0.3">
      <c r="E540" s="17"/>
    </row>
    <row r="541" spans="5:5" ht="15.75" thickBot="1" x14ac:dyDescent="0.3">
      <c r="E541" s="17"/>
    </row>
    <row r="542" spans="5:5" ht="15.75" thickBot="1" x14ac:dyDescent="0.3">
      <c r="E542" s="17"/>
    </row>
    <row r="543" spans="5:5" ht="15.75" thickBot="1" x14ac:dyDescent="0.3">
      <c r="E543" s="17"/>
    </row>
    <row r="544" spans="5:5" ht="15.75" thickBot="1" x14ac:dyDescent="0.3">
      <c r="E544" s="17"/>
    </row>
    <row r="545" spans="5:5" ht="15.75" thickBot="1" x14ac:dyDescent="0.3">
      <c r="E545" s="17"/>
    </row>
    <row r="546" spans="5:5" ht="15.75" thickBot="1" x14ac:dyDescent="0.3">
      <c r="E546" s="17"/>
    </row>
    <row r="547" spans="5:5" ht="15.75" thickBot="1" x14ac:dyDescent="0.3">
      <c r="E547" s="17"/>
    </row>
    <row r="548" spans="5:5" ht="15.75" thickBot="1" x14ac:dyDescent="0.3">
      <c r="E548" s="17"/>
    </row>
    <row r="549" spans="5:5" ht="15.75" thickBot="1" x14ac:dyDescent="0.3">
      <c r="E549" s="17"/>
    </row>
    <row r="550" spans="5:5" ht="15.75" thickBot="1" x14ac:dyDescent="0.3">
      <c r="E550" s="17"/>
    </row>
    <row r="551" spans="5:5" ht="15.75" thickBot="1" x14ac:dyDescent="0.3">
      <c r="E551" s="17"/>
    </row>
    <row r="552" spans="5:5" ht="15.75" thickBot="1" x14ac:dyDescent="0.3">
      <c r="E552" s="17"/>
    </row>
    <row r="553" spans="5:5" ht="15.75" thickBot="1" x14ac:dyDescent="0.3">
      <c r="E553" s="17"/>
    </row>
    <row r="554" spans="5:5" ht="15.75" thickBot="1" x14ac:dyDescent="0.3">
      <c r="E554" s="17"/>
    </row>
    <row r="555" spans="5:5" ht="15.75" thickBot="1" x14ac:dyDescent="0.3">
      <c r="E555" s="17"/>
    </row>
    <row r="556" spans="5:5" ht="15.75" thickBot="1" x14ac:dyDescent="0.3">
      <c r="E556" s="17"/>
    </row>
    <row r="557" spans="5:5" ht="15.75" thickBot="1" x14ac:dyDescent="0.3">
      <c r="E557" s="17"/>
    </row>
    <row r="558" spans="5:5" ht="15.75" thickBot="1" x14ac:dyDescent="0.3">
      <c r="E558" s="17"/>
    </row>
    <row r="559" spans="5:5" ht="15.75" thickBot="1" x14ac:dyDescent="0.3">
      <c r="E559" s="17"/>
    </row>
    <row r="560" spans="5:5" ht="15.75" thickBot="1" x14ac:dyDescent="0.3">
      <c r="E560" s="17"/>
    </row>
    <row r="561" spans="5:5" ht="15.75" thickBot="1" x14ac:dyDescent="0.3">
      <c r="E561" s="17"/>
    </row>
    <row r="562" spans="5:5" ht="15.75" thickBot="1" x14ac:dyDescent="0.3">
      <c r="E562" s="17"/>
    </row>
    <row r="563" spans="5:5" ht="15.75" thickBot="1" x14ac:dyDescent="0.3">
      <c r="E563" s="17"/>
    </row>
    <row r="564" spans="5:5" ht="15.75" thickBot="1" x14ac:dyDescent="0.3">
      <c r="E564" s="17"/>
    </row>
    <row r="565" spans="5:5" ht="15.75" thickBot="1" x14ac:dyDescent="0.3">
      <c r="E565" s="17"/>
    </row>
    <row r="566" spans="5:5" ht="15.75" thickBot="1" x14ac:dyDescent="0.3">
      <c r="E566" s="17"/>
    </row>
    <row r="567" spans="5:5" ht="15.75" thickBot="1" x14ac:dyDescent="0.3">
      <c r="E567" s="17"/>
    </row>
    <row r="568" spans="5:5" ht="15.75" thickBot="1" x14ac:dyDescent="0.3">
      <c r="E568" s="17"/>
    </row>
    <row r="569" spans="5:5" ht="15.75" thickBot="1" x14ac:dyDescent="0.3">
      <c r="E569" s="17"/>
    </row>
    <row r="570" spans="5:5" ht="15.75" thickBot="1" x14ac:dyDescent="0.3">
      <c r="E570" s="17"/>
    </row>
    <row r="571" spans="5:5" ht="15.75" thickBot="1" x14ac:dyDescent="0.3">
      <c r="E571" s="17"/>
    </row>
    <row r="572" spans="5:5" ht="15.75" thickBot="1" x14ac:dyDescent="0.3">
      <c r="E572" s="17"/>
    </row>
    <row r="573" spans="5:5" ht="15.75" thickBot="1" x14ac:dyDescent="0.3">
      <c r="E573" s="17"/>
    </row>
    <row r="574" spans="5:5" ht="15.75" thickBot="1" x14ac:dyDescent="0.3">
      <c r="E574" s="17"/>
    </row>
    <row r="575" spans="5:5" ht="15.75" thickBot="1" x14ac:dyDescent="0.3">
      <c r="E575" s="17"/>
    </row>
    <row r="576" spans="5:5" ht="15.75" thickBot="1" x14ac:dyDescent="0.3">
      <c r="E576" s="17"/>
    </row>
    <row r="577" spans="5:5" ht="15.75" thickBot="1" x14ac:dyDescent="0.3">
      <c r="E577" s="17"/>
    </row>
    <row r="578" spans="5:5" ht="15.75" thickBot="1" x14ac:dyDescent="0.3">
      <c r="E578" s="17"/>
    </row>
    <row r="579" spans="5:5" ht="15.75" thickBot="1" x14ac:dyDescent="0.3">
      <c r="E579" s="17"/>
    </row>
    <row r="580" spans="5:5" ht="15.75" thickBot="1" x14ac:dyDescent="0.3">
      <c r="E580" s="17"/>
    </row>
    <row r="581" spans="5:5" ht="15.75" thickBot="1" x14ac:dyDescent="0.3">
      <c r="E581" s="17"/>
    </row>
    <row r="582" spans="5:5" ht="15.75" thickBot="1" x14ac:dyDescent="0.3">
      <c r="E582" s="17"/>
    </row>
    <row r="583" spans="5:5" ht="15.75" thickBot="1" x14ac:dyDescent="0.3">
      <c r="E583" s="17"/>
    </row>
    <row r="584" spans="5:5" ht="15.75" thickBot="1" x14ac:dyDescent="0.3">
      <c r="E584" s="17"/>
    </row>
    <row r="585" spans="5:5" ht="15.75" thickBot="1" x14ac:dyDescent="0.3">
      <c r="E585" s="17"/>
    </row>
    <row r="586" spans="5:5" ht="15.75" thickBot="1" x14ac:dyDescent="0.3">
      <c r="E586" s="17"/>
    </row>
    <row r="587" spans="5:5" ht="15.75" thickBot="1" x14ac:dyDescent="0.3">
      <c r="E587" s="17"/>
    </row>
    <row r="588" spans="5:5" ht="15.75" thickBot="1" x14ac:dyDescent="0.3">
      <c r="E588" s="17"/>
    </row>
    <row r="589" spans="5:5" ht="15.75" thickBot="1" x14ac:dyDescent="0.3">
      <c r="E589" s="17"/>
    </row>
    <row r="590" spans="5:5" ht="15.75" thickBot="1" x14ac:dyDescent="0.3">
      <c r="E590" s="17"/>
    </row>
    <row r="591" spans="5:5" ht="15.75" thickBot="1" x14ac:dyDescent="0.3">
      <c r="E591" s="17"/>
    </row>
    <row r="592" spans="5:5" ht="15.75" thickBot="1" x14ac:dyDescent="0.3">
      <c r="E592" s="17"/>
    </row>
    <row r="593" spans="5:5" ht="15.75" thickBot="1" x14ac:dyDescent="0.3">
      <c r="E593" s="17"/>
    </row>
    <row r="594" spans="5:5" ht="15.75" thickBot="1" x14ac:dyDescent="0.3">
      <c r="E594" s="17"/>
    </row>
    <row r="595" spans="5:5" ht="15.75" thickBot="1" x14ac:dyDescent="0.3">
      <c r="E595" s="17"/>
    </row>
    <row r="596" spans="5:5" ht="15.75" thickBot="1" x14ac:dyDescent="0.3">
      <c r="E596" s="17"/>
    </row>
    <row r="597" spans="5:5" ht="15.75" thickBot="1" x14ac:dyDescent="0.3">
      <c r="E597" s="17"/>
    </row>
    <row r="598" spans="5:5" ht="15.75" thickBot="1" x14ac:dyDescent="0.3">
      <c r="E598" s="17"/>
    </row>
    <row r="599" spans="5:5" ht="15.75" thickBot="1" x14ac:dyDescent="0.3">
      <c r="E599" s="17"/>
    </row>
    <row r="600" spans="5:5" ht="15.75" thickBot="1" x14ac:dyDescent="0.3">
      <c r="E600" s="17"/>
    </row>
    <row r="601" spans="5:5" ht="15.75" thickBot="1" x14ac:dyDescent="0.3">
      <c r="E601" s="17"/>
    </row>
    <row r="602" spans="5:5" ht="15.75" thickBot="1" x14ac:dyDescent="0.3">
      <c r="E602" s="17"/>
    </row>
    <row r="603" spans="5:5" ht="15.75" thickBot="1" x14ac:dyDescent="0.3">
      <c r="E603" s="17"/>
    </row>
    <row r="604" spans="5:5" ht="15.75" thickBot="1" x14ac:dyDescent="0.3">
      <c r="E604" s="17"/>
    </row>
    <row r="605" spans="5:5" ht="15.75" thickBot="1" x14ac:dyDescent="0.3">
      <c r="E605" s="17"/>
    </row>
    <row r="606" spans="5:5" ht="15.75" thickBot="1" x14ac:dyDescent="0.3">
      <c r="E606" s="17"/>
    </row>
    <row r="607" spans="5:5" ht="15.75" thickBot="1" x14ac:dyDescent="0.3">
      <c r="E607" s="17"/>
    </row>
    <row r="608" spans="5:5" ht="15.75" thickBot="1" x14ac:dyDescent="0.3">
      <c r="E608" s="17"/>
    </row>
    <row r="609" spans="5:5" ht="15.75" thickBot="1" x14ac:dyDescent="0.3">
      <c r="E609" s="17"/>
    </row>
    <row r="610" spans="5:5" ht="15.75" thickBot="1" x14ac:dyDescent="0.3">
      <c r="E610" s="17"/>
    </row>
    <row r="611" spans="5:5" ht="15.75" thickBot="1" x14ac:dyDescent="0.3">
      <c r="E611" s="17"/>
    </row>
    <row r="612" spans="5:5" ht="15.75" thickBot="1" x14ac:dyDescent="0.3">
      <c r="E612" s="17"/>
    </row>
    <row r="613" spans="5:5" ht="15.75" thickBot="1" x14ac:dyDescent="0.3">
      <c r="E613" s="17"/>
    </row>
    <row r="614" spans="5:5" ht="15.75" thickBot="1" x14ac:dyDescent="0.3">
      <c r="E614" s="17"/>
    </row>
    <row r="615" spans="5:5" ht="15.75" thickBot="1" x14ac:dyDescent="0.3">
      <c r="E615" s="17"/>
    </row>
    <row r="616" spans="5:5" ht="15.75" thickBot="1" x14ac:dyDescent="0.3">
      <c r="E616" s="17"/>
    </row>
    <row r="617" spans="5:5" ht="15.75" thickBot="1" x14ac:dyDescent="0.3">
      <c r="E617" s="17"/>
    </row>
    <row r="618" spans="5:5" ht="15.75" thickBot="1" x14ac:dyDescent="0.3">
      <c r="E618" s="17"/>
    </row>
    <row r="619" spans="5:5" ht="15.75" thickBot="1" x14ac:dyDescent="0.3">
      <c r="E619" s="17"/>
    </row>
    <row r="620" spans="5:5" ht="15.75" thickBot="1" x14ac:dyDescent="0.3">
      <c r="E620" s="17"/>
    </row>
    <row r="621" spans="5:5" ht="15.75" thickBot="1" x14ac:dyDescent="0.3">
      <c r="E621" s="17"/>
    </row>
    <row r="622" spans="5:5" ht="15.75" thickBot="1" x14ac:dyDescent="0.3">
      <c r="E622" s="17"/>
    </row>
    <row r="623" spans="5:5" ht="15.75" thickBot="1" x14ac:dyDescent="0.3">
      <c r="E623" s="17"/>
    </row>
    <row r="624" spans="5:5" ht="15.75" thickBot="1" x14ac:dyDescent="0.3">
      <c r="E624" s="17"/>
    </row>
    <row r="625" spans="5:5" ht="15.75" thickBot="1" x14ac:dyDescent="0.3">
      <c r="E625" s="17"/>
    </row>
    <row r="626" spans="5:5" ht="15.75" thickBot="1" x14ac:dyDescent="0.3">
      <c r="E626" s="17"/>
    </row>
    <row r="627" spans="5:5" ht="15.75" thickBot="1" x14ac:dyDescent="0.3">
      <c r="E627" s="17"/>
    </row>
    <row r="628" spans="5:5" ht="15.75" thickBot="1" x14ac:dyDescent="0.3">
      <c r="E628" s="17"/>
    </row>
    <row r="629" spans="5:5" ht="15.75" thickBot="1" x14ac:dyDescent="0.3">
      <c r="E629" s="17"/>
    </row>
    <row r="630" spans="5:5" ht="15.75" thickBot="1" x14ac:dyDescent="0.3">
      <c r="E630" s="17"/>
    </row>
    <row r="631" spans="5:5" ht="15.75" thickBot="1" x14ac:dyDescent="0.3">
      <c r="E631" s="17"/>
    </row>
    <row r="632" spans="5:5" ht="15.75" thickBot="1" x14ac:dyDescent="0.3">
      <c r="E632" s="17"/>
    </row>
    <row r="633" spans="5:5" ht="15.75" thickBot="1" x14ac:dyDescent="0.3">
      <c r="E633" s="17"/>
    </row>
    <row r="634" spans="5:5" ht="15.75" thickBot="1" x14ac:dyDescent="0.3">
      <c r="E634" s="17"/>
    </row>
    <row r="635" spans="5:5" ht="15.75" thickBot="1" x14ac:dyDescent="0.3">
      <c r="E635" s="17"/>
    </row>
    <row r="636" spans="5:5" ht="15.75" thickBot="1" x14ac:dyDescent="0.3">
      <c r="E636" s="17"/>
    </row>
    <row r="637" spans="5:5" ht="15.75" thickBot="1" x14ac:dyDescent="0.3">
      <c r="E637" s="17"/>
    </row>
    <row r="638" spans="5:5" ht="15.75" thickBot="1" x14ac:dyDescent="0.3">
      <c r="E638" s="17"/>
    </row>
    <row r="639" spans="5:5" ht="15.75" thickBot="1" x14ac:dyDescent="0.3">
      <c r="E639" s="17"/>
    </row>
    <row r="640" spans="5:5" ht="15.75" thickBot="1" x14ac:dyDescent="0.3">
      <c r="E640" s="17"/>
    </row>
    <row r="641" spans="5:5" ht="15.75" thickBot="1" x14ac:dyDescent="0.3">
      <c r="E641" s="17"/>
    </row>
    <row r="642" spans="5:5" ht="15.75" thickBot="1" x14ac:dyDescent="0.3">
      <c r="E642" s="17"/>
    </row>
    <row r="643" spans="5:5" ht="15.75" thickBot="1" x14ac:dyDescent="0.3">
      <c r="E643" s="17"/>
    </row>
    <row r="644" spans="5:5" ht="15.75" thickBot="1" x14ac:dyDescent="0.3">
      <c r="E644" s="17"/>
    </row>
    <row r="645" spans="5:5" ht="15.75" thickBot="1" x14ac:dyDescent="0.3">
      <c r="E645" s="17"/>
    </row>
    <row r="646" spans="5:5" ht="15.75" thickBot="1" x14ac:dyDescent="0.3">
      <c r="E646" s="17"/>
    </row>
    <row r="647" spans="5:5" ht="15.75" thickBot="1" x14ac:dyDescent="0.3">
      <c r="E647" s="17"/>
    </row>
    <row r="648" spans="5:5" ht="15.75" thickBot="1" x14ac:dyDescent="0.3">
      <c r="E648" s="17"/>
    </row>
    <row r="649" spans="5:5" ht="15.75" thickBot="1" x14ac:dyDescent="0.3">
      <c r="E649" s="17"/>
    </row>
    <row r="650" spans="5:5" ht="15.75" thickBot="1" x14ac:dyDescent="0.3">
      <c r="E650" s="17"/>
    </row>
    <row r="651" spans="5:5" ht="15.75" thickBot="1" x14ac:dyDescent="0.3">
      <c r="E651" s="17"/>
    </row>
    <row r="652" spans="5:5" ht="15.75" thickBot="1" x14ac:dyDescent="0.3">
      <c r="E652" s="17"/>
    </row>
    <row r="653" spans="5:5" ht="15.75" thickBot="1" x14ac:dyDescent="0.3">
      <c r="E653" s="17"/>
    </row>
    <row r="654" spans="5:5" ht="15.75" thickBot="1" x14ac:dyDescent="0.3">
      <c r="E654" s="17"/>
    </row>
    <row r="655" spans="5:5" ht="15.75" thickBot="1" x14ac:dyDescent="0.3">
      <c r="E655" s="17"/>
    </row>
    <row r="656" spans="5:5" ht="15.75" thickBot="1" x14ac:dyDescent="0.3">
      <c r="E656" s="17"/>
    </row>
    <row r="657" spans="5:5" ht="15.75" thickBot="1" x14ac:dyDescent="0.3">
      <c r="E657" s="17"/>
    </row>
    <row r="658" spans="5:5" ht="15.75" thickBot="1" x14ac:dyDescent="0.3">
      <c r="E658" s="17"/>
    </row>
    <row r="659" spans="5:5" ht="15.75" thickBot="1" x14ac:dyDescent="0.3">
      <c r="E659" s="17"/>
    </row>
    <row r="660" spans="5:5" ht="15.75" thickBot="1" x14ac:dyDescent="0.3">
      <c r="E660" s="17"/>
    </row>
    <row r="661" spans="5:5" ht="15.75" thickBot="1" x14ac:dyDescent="0.3">
      <c r="E661" s="17"/>
    </row>
    <row r="662" spans="5:5" ht="15.75" thickBot="1" x14ac:dyDescent="0.3">
      <c r="E662" s="17"/>
    </row>
    <row r="663" spans="5:5" ht="15.75" thickBot="1" x14ac:dyDescent="0.3">
      <c r="E663" s="17"/>
    </row>
    <row r="664" spans="5:5" ht="15.75" thickBot="1" x14ac:dyDescent="0.3">
      <c r="E664" s="17"/>
    </row>
    <row r="665" spans="5:5" ht="15.75" thickBot="1" x14ac:dyDescent="0.3">
      <c r="E665" s="17"/>
    </row>
    <row r="666" spans="5:5" ht="15.75" thickBot="1" x14ac:dyDescent="0.3">
      <c r="E666" s="17"/>
    </row>
    <row r="667" spans="5:5" ht="15.75" thickBot="1" x14ac:dyDescent="0.3">
      <c r="E667" s="17"/>
    </row>
    <row r="668" spans="5:5" ht="15.75" thickBot="1" x14ac:dyDescent="0.3">
      <c r="E668" s="17"/>
    </row>
    <row r="669" spans="5:5" ht="15.75" thickBot="1" x14ac:dyDescent="0.3">
      <c r="E669" s="17"/>
    </row>
    <row r="670" spans="5:5" ht="15.75" thickBot="1" x14ac:dyDescent="0.3">
      <c r="E670" s="17"/>
    </row>
    <row r="671" spans="5:5" ht="15.75" thickBot="1" x14ac:dyDescent="0.3">
      <c r="E671" s="17"/>
    </row>
    <row r="672" spans="5:5" ht="15.75" thickBot="1" x14ac:dyDescent="0.3">
      <c r="E672" s="17"/>
    </row>
    <row r="673" spans="5:5" ht="15.75" thickBot="1" x14ac:dyDescent="0.3">
      <c r="E673" s="17"/>
    </row>
    <row r="674" spans="5:5" ht="15.75" thickBot="1" x14ac:dyDescent="0.3">
      <c r="E674" s="17"/>
    </row>
    <row r="675" spans="5:5" ht="15.75" thickBot="1" x14ac:dyDescent="0.3">
      <c r="E675" s="17"/>
    </row>
    <row r="676" spans="5:5" ht="15.75" thickBot="1" x14ac:dyDescent="0.3">
      <c r="E676" s="17"/>
    </row>
    <row r="677" spans="5:5" ht="15.75" thickBot="1" x14ac:dyDescent="0.3">
      <c r="E677" s="17"/>
    </row>
    <row r="678" spans="5:5" ht="15.75" thickBot="1" x14ac:dyDescent="0.3">
      <c r="E678" s="17"/>
    </row>
    <row r="679" spans="5:5" ht="15.75" thickBot="1" x14ac:dyDescent="0.3">
      <c r="E679" s="17"/>
    </row>
    <row r="680" spans="5:5" ht="15.75" thickBot="1" x14ac:dyDescent="0.3">
      <c r="E680" s="17"/>
    </row>
    <row r="681" spans="5:5" ht="15.75" thickBot="1" x14ac:dyDescent="0.3">
      <c r="E681" s="17"/>
    </row>
    <row r="682" spans="5:5" ht="15.75" thickBot="1" x14ac:dyDescent="0.3">
      <c r="E682" s="17"/>
    </row>
    <row r="683" spans="5:5" ht="15.75" thickBot="1" x14ac:dyDescent="0.3">
      <c r="E683" s="17"/>
    </row>
    <row r="684" spans="5:5" ht="15.75" thickBot="1" x14ac:dyDescent="0.3">
      <c r="E684" s="17"/>
    </row>
    <row r="685" spans="5:5" ht="15.75" thickBot="1" x14ac:dyDescent="0.3">
      <c r="E685" s="17"/>
    </row>
    <row r="686" spans="5:5" ht="15.75" thickBot="1" x14ac:dyDescent="0.3">
      <c r="E686" s="17"/>
    </row>
    <row r="687" spans="5:5" ht="15.75" thickBot="1" x14ac:dyDescent="0.3">
      <c r="E687" s="17"/>
    </row>
    <row r="688" spans="5:5" ht="15.75" thickBot="1" x14ac:dyDescent="0.3">
      <c r="E688" s="17"/>
    </row>
    <row r="689" spans="5:5" ht="15.75" thickBot="1" x14ac:dyDescent="0.3">
      <c r="E689" s="17"/>
    </row>
    <row r="690" spans="5:5" ht="15.75" thickBot="1" x14ac:dyDescent="0.3">
      <c r="E690" s="17"/>
    </row>
    <row r="691" spans="5:5" ht="15.75" thickBot="1" x14ac:dyDescent="0.3">
      <c r="E691" s="17"/>
    </row>
    <row r="692" spans="5:5" ht="15.75" thickBot="1" x14ac:dyDescent="0.3">
      <c r="E692" s="17"/>
    </row>
    <row r="693" spans="5:5" ht="15.75" thickBot="1" x14ac:dyDescent="0.3">
      <c r="E693" s="17"/>
    </row>
    <row r="694" spans="5:5" ht="15.75" thickBot="1" x14ac:dyDescent="0.3">
      <c r="E694" s="17"/>
    </row>
    <row r="695" spans="5:5" ht="15.75" thickBot="1" x14ac:dyDescent="0.3">
      <c r="E695" s="17"/>
    </row>
    <row r="696" spans="5:5" ht="15.75" thickBot="1" x14ac:dyDescent="0.3">
      <c r="E696" s="17"/>
    </row>
    <row r="697" spans="5:5" ht="15.75" thickBot="1" x14ac:dyDescent="0.3">
      <c r="E697" s="17"/>
    </row>
    <row r="698" spans="5:5" ht="15.75" thickBot="1" x14ac:dyDescent="0.3">
      <c r="E698" s="17"/>
    </row>
    <row r="699" spans="5:5" ht="15.75" thickBot="1" x14ac:dyDescent="0.3">
      <c r="E699" s="17"/>
    </row>
    <row r="700" spans="5:5" ht="15.75" thickBot="1" x14ac:dyDescent="0.3">
      <c r="E700" s="17"/>
    </row>
    <row r="701" spans="5:5" ht="15.75" thickBot="1" x14ac:dyDescent="0.3">
      <c r="E701" s="17"/>
    </row>
    <row r="702" spans="5:5" ht="15.75" thickBot="1" x14ac:dyDescent="0.3">
      <c r="E702" s="17"/>
    </row>
    <row r="703" spans="5:5" ht="15.75" thickBot="1" x14ac:dyDescent="0.3">
      <c r="E703" s="17"/>
    </row>
    <row r="704" spans="5:5" ht="15.75" thickBot="1" x14ac:dyDescent="0.3">
      <c r="E704" s="17"/>
    </row>
    <row r="705" spans="5:5" ht="15.75" thickBot="1" x14ac:dyDescent="0.3">
      <c r="E705" s="17"/>
    </row>
    <row r="706" spans="5:5" ht="15.75" thickBot="1" x14ac:dyDescent="0.3">
      <c r="E706" s="17"/>
    </row>
    <row r="707" spans="5:5" ht="15.75" thickBot="1" x14ac:dyDescent="0.3">
      <c r="E707" s="17"/>
    </row>
    <row r="708" spans="5:5" ht="15.75" thickBot="1" x14ac:dyDescent="0.3">
      <c r="E708" s="17"/>
    </row>
    <row r="709" spans="5:5" ht="15.75" thickBot="1" x14ac:dyDescent="0.3">
      <c r="E709" s="17"/>
    </row>
    <row r="710" spans="5:5" ht="15.75" thickBot="1" x14ac:dyDescent="0.3">
      <c r="E710" s="17"/>
    </row>
    <row r="711" spans="5:5" ht="15.75" thickBot="1" x14ac:dyDescent="0.3">
      <c r="E711" s="17"/>
    </row>
    <row r="712" spans="5:5" ht="15.75" thickBot="1" x14ac:dyDescent="0.3">
      <c r="E712" s="17"/>
    </row>
    <row r="713" spans="5:5" ht="15.75" thickBot="1" x14ac:dyDescent="0.3">
      <c r="E713" s="17"/>
    </row>
    <row r="714" spans="5:5" ht="15.75" thickBot="1" x14ac:dyDescent="0.3">
      <c r="E714" s="17"/>
    </row>
    <row r="715" spans="5:5" ht="15.75" thickBot="1" x14ac:dyDescent="0.3">
      <c r="E715" s="17"/>
    </row>
    <row r="716" spans="5:5" ht="15.75" thickBot="1" x14ac:dyDescent="0.3">
      <c r="E716" s="17"/>
    </row>
    <row r="717" spans="5:5" ht="15.75" thickBot="1" x14ac:dyDescent="0.3">
      <c r="E717" s="17"/>
    </row>
    <row r="718" spans="5:5" ht="15.75" thickBot="1" x14ac:dyDescent="0.3">
      <c r="E718" s="17"/>
    </row>
    <row r="719" spans="5:5" ht="15.75" thickBot="1" x14ac:dyDescent="0.3">
      <c r="E719" s="17"/>
    </row>
    <row r="720" spans="5:5" ht="15.75" thickBot="1" x14ac:dyDescent="0.3">
      <c r="E720" s="17"/>
    </row>
    <row r="721" spans="5:5" ht="15.75" thickBot="1" x14ac:dyDescent="0.3">
      <c r="E721" s="17"/>
    </row>
    <row r="722" spans="5:5" ht="15.75" thickBot="1" x14ac:dyDescent="0.3">
      <c r="E722" s="17"/>
    </row>
    <row r="723" spans="5:5" ht="15.75" thickBot="1" x14ac:dyDescent="0.3">
      <c r="E723" s="17"/>
    </row>
    <row r="724" spans="5:5" ht="15.75" thickBot="1" x14ac:dyDescent="0.3">
      <c r="E724" s="17"/>
    </row>
    <row r="725" spans="5:5" ht="15.75" thickBot="1" x14ac:dyDescent="0.3">
      <c r="E725" s="17"/>
    </row>
    <row r="726" spans="5:5" ht="15.75" thickBot="1" x14ac:dyDescent="0.3">
      <c r="E726" s="17"/>
    </row>
    <row r="727" spans="5:5" ht="15.75" thickBot="1" x14ac:dyDescent="0.3">
      <c r="E727" s="17"/>
    </row>
    <row r="728" spans="5:5" ht="15.75" thickBot="1" x14ac:dyDescent="0.3">
      <c r="E728" s="17"/>
    </row>
    <row r="729" spans="5:5" ht="15.75" thickBot="1" x14ac:dyDescent="0.3">
      <c r="E729" s="17"/>
    </row>
    <row r="730" spans="5:5" ht="15.75" thickBot="1" x14ac:dyDescent="0.3">
      <c r="E730" s="17"/>
    </row>
    <row r="731" spans="5:5" ht="15.75" thickBot="1" x14ac:dyDescent="0.3">
      <c r="E731" s="17"/>
    </row>
    <row r="732" spans="5:5" ht="15.75" thickBot="1" x14ac:dyDescent="0.3">
      <c r="E732" s="17"/>
    </row>
    <row r="733" spans="5:5" ht="15.75" thickBot="1" x14ac:dyDescent="0.3">
      <c r="E733" s="17"/>
    </row>
    <row r="734" spans="5:5" ht="15.75" thickBot="1" x14ac:dyDescent="0.3">
      <c r="E734" s="17"/>
    </row>
    <row r="735" spans="5:5" ht="15.75" thickBot="1" x14ac:dyDescent="0.3">
      <c r="E735" s="17"/>
    </row>
    <row r="736" spans="5:5" ht="15.75" thickBot="1" x14ac:dyDescent="0.3">
      <c r="E736" s="17"/>
    </row>
    <row r="737" spans="5:5" ht="15.75" thickBot="1" x14ac:dyDescent="0.3">
      <c r="E737" s="17"/>
    </row>
    <row r="738" spans="5:5" ht="15.75" thickBot="1" x14ac:dyDescent="0.3">
      <c r="E738" s="17"/>
    </row>
    <row r="739" spans="5:5" ht="15.75" thickBot="1" x14ac:dyDescent="0.3">
      <c r="E739" s="17"/>
    </row>
    <row r="740" spans="5:5" ht="15.75" thickBot="1" x14ac:dyDescent="0.3">
      <c r="E740" s="17"/>
    </row>
    <row r="741" spans="5:5" ht="15.75" thickBot="1" x14ac:dyDescent="0.3">
      <c r="E741" s="17"/>
    </row>
    <row r="742" spans="5:5" ht="15.75" thickBot="1" x14ac:dyDescent="0.3">
      <c r="E742" s="17"/>
    </row>
    <row r="743" spans="5:5" ht="15.75" thickBot="1" x14ac:dyDescent="0.3">
      <c r="E743" s="17"/>
    </row>
    <row r="744" spans="5:5" ht="15.75" thickBot="1" x14ac:dyDescent="0.3">
      <c r="E744" s="17"/>
    </row>
    <row r="745" spans="5:5" ht="15.75" thickBot="1" x14ac:dyDescent="0.3">
      <c r="E745" s="17"/>
    </row>
    <row r="746" spans="5:5" ht="15.75" thickBot="1" x14ac:dyDescent="0.3">
      <c r="E746" s="17"/>
    </row>
    <row r="747" spans="5:5" ht="15.75" thickBot="1" x14ac:dyDescent="0.3">
      <c r="E747" s="17"/>
    </row>
    <row r="748" spans="5:5" ht="15.75" thickBot="1" x14ac:dyDescent="0.3">
      <c r="E748" s="17"/>
    </row>
    <row r="749" spans="5:5" ht="15.75" thickBot="1" x14ac:dyDescent="0.3">
      <c r="E749" s="17"/>
    </row>
    <row r="750" spans="5:5" ht="15.75" thickBot="1" x14ac:dyDescent="0.3">
      <c r="E750" s="17"/>
    </row>
    <row r="751" spans="5:5" ht="15.75" thickBot="1" x14ac:dyDescent="0.3">
      <c r="E751" s="17"/>
    </row>
    <row r="752" spans="5:5" ht="15.75" thickBot="1" x14ac:dyDescent="0.3">
      <c r="E752" s="17"/>
    </row>
    <row r="753" spans="5:5" ht="15.75" thickBot="1" x14ac:dyDescent="0.3">
      <c r="E753" s="17"/>
    </row>
    <row r="754" spans="5:5" ht="15.75" thickBot="1" x14ac:dyDescent="0.3">
      <c r="E754" s="17"/>
    </row>
    <row r="755" spans="5:5" ht="15.75" thickBot="1" x14ac:dyDescent="0.3">
      <c r="E755" s="17"/>
    </row>
    <row r="756" spans="5:5" ht="15.75" thickBot="1" x14ac:dyDescent="0.3">
      <c r="E756" s="17"/>
    </row>
    <row r="757" spans="5:5" ht="15.75" thickBot="1" x14ac:dyDescent="0.3">
      <c r="E757" s="17"/>
    </row>
    <row r="758" spans="5:5" ht="15.75" thickBot="1" x14ac:dyDescent="0.3">
      <c r="E758" s="17"/>
    </row>
    <row r="759" spans="5:5" ht="15.75" thickBot="1" x14ac:dyDescent="0.3">
      <c r="E759" s="17"/>
    </row>
    <row r="760" spans="5:5" ht="15.75" thickBot="1" x14ac:dyDescent="0.3">
      <c r="E760" s="17"/>
    </row>
    <row r="761" spans="5:5" ht="15.75" thickBot="1" x14ac:dyDescent="0.3">
      <c r="E761" s="17"/>
    </row>
    <row r="762" spans="5:5" ht="15.75" thickBot="1" x14ac:dyDescent="0.3">
      <c r="E762" s="17"/>
    </row>
    <row r="763" spans="5:5" ht="15.75" thickBot="1" x14ac:dyDescent="0.3">
      <c r="E763" s="17"/>
    </row>
    <row r="764" spans="5:5" ht="15.75" thickBot="1" x14ac:dyDescent="0.3">
      <c r="E764" s="17"/>
    </row>
    <row r="765" spans="5:5" ht="15.75" thickBot="1" x14ac:dyDescent="0.3">
      <c r="E765" s="17"/>
    </row>
    <row r="766" spans="5:5" ht="15.75" thickBot="1" x14ac:dyDescent="0.3">
      <c r="E766" s="17"/>
    </row>
    <row r="767" spans="5:5" ht="15.75" thickBot="1" x14ac:dyDescent="0.3">
      <c r="E767" s="17"/>
    </row>
    <row r="768" spans="5:5" ht="15.75" thickBot="1" x14ac:dyDescent="0.3">
      <c r="E768" s="17"/>
    </row>
    <row r="769" spans="5:5" ht="15.75" thickBot="1" x14ac:dyDescent="0.3">
      <c r="E769" s="17"/>
    </row>
    <row r="770" spans="5:5" ht="15.75" thickBot="1" x14ac:dyDescent="0.3">
      <c r="E770" s="17"/>
    </row>
    <row r="771" spans="5:5" ht="15.75" thickBot="1" x14ac:dyDescent="0.3">
      <c r="E771" s="17"/>
    </row>
    <row r="772" spans="5:5" ht="15.75" thickBot="1" x14ac:dyDescent="0.3">
      <c r="E772" s="17"/>
    </row>
    <row r="773" spans="5:5" ht="15.75" thickBot="1" x14ac:dyDescent="0.3">
      <c r="E773" s="17"/>
    </row>
    <row r="774" spans="5:5" ht="15.75" thickBot="1" x14ac:dyDescent="0.3">
      <c r="E774" s="17"/>
    </row>
    <row r="775" spans="5:5" ht="15.75" thickBot="1" x14ac:dyDescent="0.3">
      <c r="E775" s="17"/>
    </row>
    <row r="776" spans="5:5" ht="15.75" thickBot="1" x14ac:dyDescent="0.3">
      <c r="E776" s="17"/>
    </row>
    <row r="777" spans="5:5" ht="15.75" thickBot="1" x14ac:dyDescent="0.3">
      <c r="E777" s="17"/>
    </row>
    <row r="778" spans="5:5" ht="15.75" thickBot="1" x14ac:dyDescent="0.3">
      <c r="E778" s="17"/>
    </row>
    <row r="779" spans="5:5" ht="15.75" thickBot="1" x14ac:dyDescent="0.3">
      <c r="E779" s="17"/>
    </row>
    <row r="780" spans="5:5" ht="15.75" thickBot="1" x14ac:dyDescent="0.3">
      <c r="E780" s="17"/>
    </row>
    <row r="781" spans="5:5" ht="15.75" thickBot="1" x14ac:dyDescent="0.3">
      <c r="E781" s="17"/>
    </row>
    <row r="782" spans="5:5" ht="15.75" thickBot="1" x14ac:dyDescent="0.3">
      <c r="E782" s="17"/>
    </row>
    <row r="783" spans="5:5" ht="15.75" thickBot="1" x14ac:dyDescent="0.3">
      <c r="E783" s="17"/>
    </row>
    <row r="784" spans="5:5" ht="15.75" thickBot="1" x14ac:dyDescent="0.3">
      <c r="E784" s="17"/>
    </row>
    <row r="785" spans="5:5" ht="15.75" thickBot="1" x14ac:dyDescent="0.3">
      <c r="E785" s="17"/>
    </row>
    <row r="786" spans="5:5" ht="15.75" thickBot="1" x14ac:dyDescent="0.3">
      <c r="E786" s="17"/>
    </row>
    <row r="787" spans="5:5" ht="15.75" thickBot="1" x14ac:dyDescent="0.3">
      <c r="E787" s="17"/>
    </row>
    <row r="788" spans="5:5" ht="15.75" thickBot="1" x14ac:dyDescent="0.3">
      <c r="E788" s="17"/>
    </row>
    <row r="789" spans="5:5" ht="15.75" thickBot="1" x14ac:dyDescent="0.3">
      <c r="E789" s="17"/>
    </row>
    <row r="790" spans="5:5" ht="15.75" thickBot="1" x14ac:dyDescent="0.3">
      <c r="E790" s="17"/>
    </row>
    <row r="791" spans="5:5" ht="15.75" thickBot="1" x14ac:dyDescent="0.3">
      <c r="E791" s="17"/>
    </row>
    <row r="792" spans="5:5" ht="15.75" thickBot="1" x14ac:dyDescent="0.3">
      <c r="E792" s="17"/>
    </row>
    <row r="793" spans="5:5" ht="15.75" thickBot="1" x14ac:dyDescent="0.3">
      <c r="E793" s="17"/>
    </row>
    <row r="794" spans="5:5" ht="15.75" thickBot="1" x14ac:dyDescent="0.3">
      <c r="E794" s="17"/>
    </row>
    <row r="795" spans="5:5" ht="15.75" thickBot="1" x14ac:dyDescent="0.3">
      <c r="E795" s="17"/>
    </row>
    <row r="796" spans="5:5" ht="15.75" thickBot="1" x14ac:dyDescent="0.3">
      <c r="E796" s="17"/>
    </row>
    <row r="797" spans="5:5" ht="15.75" thickBot="1" x14ac:dyDescent="0.3">
      <c r="E797" s="17"/>
    </row>
    <row r="798" spans="5:5" ht="15.75" thickBot="1" x14ac:dyDescent="0.3">
      <c r="E798" s="17"/>
    </row>
    <row r="799" spans="5:5" ht="15.75" thickBot="1" x14ac:dyDescent="0.3">
      <c r="E799" s="17"/>
    </row>
    <row r="800" spans="5:5" ht="15.75" thickBot="1" x14ac:dyDescent="0.3">
      <c r="E800" s="17"/>
    </row>
    <row r="801" spans="5:5" ht="15.75" thickBot="1" x14ac:dyDescent="0.3">
      <c r="E801" s="17"/>
    </row>
    <row r="802" spans="5:5" ht="15.75" thickBot="1" x14ac:dyDescent="0.3">
      <c r="E802" s="17"/>
    </row>
    <row r="803" spans="5:5" ht="15.75" thickBot="1" x14ac:dyDescent="0.3">
      <c r="E803" s="17"/>
    </row>
    <row r="804" spans="5:5" ht="15.75" thickBot="1" x14ac:dyDescent="0.3">
      <c r="E804" s="17"/>
    </row>
    <row r="805" spans="5:5" ht="15.75" thickBot="1" x14ac:dyDescent="0.3">
      <c r="E805" s="17"/>
    </row>
    <row r="806" spans="5:5" ht="15.75" thickBot="1" x14ac:dyDescent="0.3">
      <c r="E806" s="17"/>
    </row>
    <row r="807" spans="5:5" ht="15.75" thickBot="1" x14ac:dyDescent="0.3">
      <c r="E807" s="17"/>
    </row>
    <row r="808" spans="5:5" ht="15.75" thickBot="1" x14ac:dyDescent="0.3">
      <c r="E808" s="17"/>
    </row>
    <row r="809" spans="5:5" ht="15.75" thickBot="1" x14ac:dyDescent="0.3">
      <c r="E809" s="17"/>
    </row>
    <row r="810" spans="5:5" ht="15.75" thickBot="1" x14ac:dyDescent="0.3">
      <c r="E810" s="17"/>
    </row>
    <row r="811" spans="5:5" ht="15.75" thickBot="1" x14ac:dyDescent="0.3">
      <c r="E811" s="17"/>
    </row>
    <row r="812" spans="5:5" ht="15.75" thickBot="1" x14ac:dyDescent="0.3">
      <c r="E812" s="17"/>
    </row>
    <row r="813" spans="5:5" ht="15.75" thickBot="1" x14ac:dyDescent="0.3">
      <c r="E813" s="17"/>
    </row>
    <row r="814" spans="5:5" ht="15.75" thickBot="1" x14ac:dyDescent="0.3">
      <c r="E814" s="17"/>
    </row>
    <row r="815" spans="5:5" ht="15.75" thickBot="1" x14ac:dyDescent="0.3">
      <c r="E815" s="17"/>
    </row>
    <row r="816" spans="5:5" ht="15.75" thickBot="1" x14ac:dyDescent="0.3">
      <c r="E816" s="17"/>
    </row>
    <row r="817" spans="5:5" ht="15.75" thickBot="1" x14ac:dyDescent="0.3">
      <c r="E817" s="17"/>
    </row>
    <row r="818" spans="5:5" ht="15.75" thickBot="1" x14ac:dyDescent="0.3">
      <c r="E818" s="17"/>
    </row>
    <row r="819" spans="5:5" ht="15.75" thickBot="1" x14ac:dyDescent="0.3">
      <c r="E819" s="17"/>
    </row>
    <row r="820" spans="5:5" ht="15.75" thickBot="1" x14ac:dyDescent="0.3">
      <c r="E820" s="17"/>
    </row>
    <row r="821" spans="5:5" ht="15.75" thickBot="1" x14ac:dyDescent="0.3">
      <c r="E821" s="17"/>
    </row>
    <row r="822" spans="5:5" ht="15.75" thickBot="1" x14ac:dyDescent="0.3">
      <c r="E822" s="17"/>
    </row>
    <row r="823" spans="5:5" ht="15.75" thickBot="1" x14ac:dyDescent="0.3">
      <c r="E823" s="17"/>
    </row>
    <row r="824" spans="5:5" ht="15.75" thickBot="1" x14ac:dyDescent="0.3">
      <c r="E824" s="17"/>
    </row>
    <row r="825" spans="5:5" ht="15.75" thickBot="1" x14ac:dyDescent="0.3">
      <c r="E825" s="17"/>
    </row>
    <row r="826" spans="5:5" ht="15.75" thickBot="1" x14ac:dyDescent="0.3">
      <c r="E826" s="17"/>
    </row>
    <row r="827" spans="5:5" ht="15.75" thickBot="1" x14ac:dyDescent="0.3">
      <c r="E827" s="17"/>
    </row>
    <row r="828" spans="5:5" ht="15.75" thickBot="1" x14ac:dyDescent="0.3">
      <c r="E828" s="17"/>
    </row>
    <row r="829" spans="5:5" ht="15.75" thickBot="1" x14ac:dyDescent="0.3">
      <c r="E829" s="17"/>
    </row>
    <row r="830" spans="5:5" ht="15.75" thickBot="1" x14ac:dyDescent="0.3">
      <c r="E830" s="17"/>
    </row>
    <row r="831" spans="5:5" ht="15.75" thickBot="1" x14ac:dyDescent="0.3">
      <c r="E831" s="17"/>
    </row>
    <row r="832" spans="5:5" ht="15.75" thickBot="1" x14ac:dyDescent="0.3">
      <c r="E832" s="17"/>
    </row>
    <row r="833" spans="5:5" ht="15.75" thickBot="1" x14ac:dyDescent="0.3">
      <c r="E833" s="17"/>
    </row>
    <row r="834" spans="5:5" ht="15.75" thickBot="1" x14ac:dyDescent="0.3">
      <c r="E834" s="17"/>
    </row>
    <row r="835" spans="5:5" ht="15.75" thickBot="1" x14ac:dyDescent="0.3">
      <c r="E835" s="17"/>
    </row>
    <row r="836" spans="5:5" ht="15.75" thickBot="1" x14ac:dyDescent="0.3">
      <c r="E836" s="17"/>
    </row>
    <row r="837" spans="5:5" ht="15.75" thickBot="1" x14ac:dyDescent="0.3">
      <c r="E837" s="17"/>
    </row>
    <row r="838" spans="5:5" ht="15.75" thickBot="1" x14ac:dyDescent="0.3">
      <c r="E838" s="17"/>
    </row>
    <row r="839" spans="5:5" ht="15.75" thickBot="1" x14ac:dyDescent="0.3">
      <c r="E839" s="17"/>
    </row>
    <row r="840" spans="5:5" ht="15.75" thickBot="1" x14ac:dyDescent="0.3">
      <c r="E840" s="17"/>
    </row>
    <row r="841" spans="5:5" ht="15.75" thickBot="1" x14ac:dyDescent="0.3">
      <c r="E841" s="17"/>
    </row>
    <row r="842" spans="5:5" ht="15.75" thickBot="1" x14ac:dyDescent="0.3">
      <c r="E842" s="17"/>
    </row>
    <row r="843" spans="5:5" ht="15.75" thickBot="1" x14ac:dyDescent="0.3">
      <c r="E843" s="17"/>
    </row>
    <row r="844" spans="5:5" ht="15.75" thickBot="1" x14ac:dyDescent="0.3">
      <c r="E844" s="17"/>
    </row>
    <row r="845" spans="5:5" ht="15.75" thickBot="1" x14ac:dyDescent="0.3">
      <c r="E845" s="17"/>
    </row>
    <row r="846" spans="5:5" ht="15.75" thickBot="1" x14ac:dyDescent="0.3">
      <c r="E846" s="17"/>
    </row>
    <row r="847" spans="5:5" ht="15.75" thickBot="1" x14ac:dyDescent="0.3">
      <c r="E847" s="17"/>
    </row>
    <row r="848" spans="5:5" ht="15.75" thickBot="1" x14ac:dyDescent="0.3">
      <c r="E848" s="17"/>
    </row>
    <row r="849" spans="5:5" ht="15.75" thickBot="1" x14ac:dyDescent="0.3">
      <c r="E849" s="17"/>
    </row>
    <row r="850" spans="5:5" ht="15.75" thickBot="1" x14ac:dyDescent="0.3">
      <c r="E850" s="17"/>
    </row>
    <row r="851" spans="5:5" ht="15.75" thickBot="1" x14ac:dyDescent="0.3">
      <c r="E851" s="17"/>
    </row>
    <row r="852" spans="5:5" ht="15.75" thickBot="1" x14ac:dyDescent="0.3">
      <c r="E852" s="17"/>
    </row>
    <row r="853" spans="5:5" ht="15.75" thickBot="1" x14ac:dyDescent="0.3">
      <c r="E853" s="17"/>
    </row>
    <row r="854" spans="5:5" ht="15.75" thickBot="1" x14ac:dyDescent="0.3">
      <c r="E854" s="17"/>
    </row>
    <row r="855" spans="5:5" ht="15.75" thickBot="1" x14ac:dyDescent="0.3">
      <c r="E855" s="17"/>
    </row>
    <row r="856" spans="5:5" ht="15.75" thickBot="1" x14ac:dyDescent="0.3">
      <c r="E856" s="17"/>
    </row>
    <row r="857" spans="5:5" ht="15.75" thickBot="1" x14ac:dyDescent="0.3">
      <c r="E857" s="17"/>
    </row>
    <row r="858" spans="5:5" ht="15.75" thickBot="1" x14ac:dyDescent="0.3">
      <c r="E858" s="17"/>
    </row>
    <row r="859" spans="5:5" ht="15.75" thickBot="1" x14ac:dyDescent="0.3">
      <c r="E859" s="17"/>
    </row>
    <row r="860" spans="5:5" ht="15.75" thickBot="1" x14ac:dyDescent="0.3">
      <c r="E860" s="17"/>
    </row>
    <row r="861" spans="5:5" ht="15.75" thickBot="1" x14ac:dyDescent="0.3">
      <c r="E861" s="17"/>
    </row>
    <row r="862" spans="5:5" ht="15.75" thickBot="1" x14ac:dyDescent="0.3">
      <c r="E862" s="17"/>
    </row>
    <row r="863" spans="5:5" ht="15.75" thickBot="1" x14ac:dyDescent="0.3">
      <c r="E863" s="17"/>
    </row>
    <row r="864" spans="5:5" ht="15.75" thickBot="1" x14ac:dyDescent="0.3">
      <c r="E864" s="17"/>
    </row>
    <row r="865" spans="5:5" ht="15.75" thickBot="1" x14ac:dyDescent="0.3">
      <c r="E865" s="17"/>
    </row>
    <row r="866" spans="5:5" ht="15.75" thickBot="1" x14ac:dyDescent="0.3">
      <c r="E866" s="17"/>
    </row>
    <row r="867" spans="5:5" ht="15.75" thickBot="1" x14ac:dyDescent="0.3">
      <c r="E867" s="17"/>
    </row>
    <row r="868" spans="5:5" ht="15.75" thickBot="1" x14ac:dyDescent="0.3">
      <c r="E868" s="17"/>
    </row>
    <row r="869" spans="5:5" ht="15.75" thickBot="1" x14ac:dyDescent="0.3">
      <c r="E869" s="17"/>
    </row>
    <row r="870" spans="5:5" ht="15.75" thickBot="1" x14ac:dyDescent="0.3">
      <c r="E870" s="17"/>
    </row>
    <row r="871" spans="5:5" ht="15.75" thickBot="1" x14ac:dyDescent="0.3">
      <c r="E871" s="17"/>
    </row>
    <row r="872" spans="5:5" ht="15.75" thickBot="1" x14ac:dyDescent="0.3">
      <c r="E872" s="17"/>
    </row>
    <row r="873" spans="5:5" ht="15.75" thickBot="1" x14ac:dyDescent="0.3">
      <c r="E873" s="17"/>
    </row>
    <row r="874" spans="5:5" ht="15.75" thickBot="1" x14ac:dyDescent="0.3">
      <c r="E874" s="17"/>
    </row>
    <row r="875" spans="5:5" ht="15.75" thickBot="1" x14ac:dyDescent="0.3">
      <c r="E875" s="17"/>
    </row>
    <row r="876" spans="5:5" ht="15.75" thickBot="1" x14ac:dyDescent="0.3">
      <c r="E876" s="17"/>
    </row>
    <row r="877" spans="5:5" ht="15.75" thickBot="1" x14ac:dyDescent="0.3">
      <c r="E877" s="17"/>
    </row>
    <row r="878" spans="5:5" ht="15.75" thickBot="1" x14ac:dyDescent="0.3">
      <c r="E878" s="17"/>
    </row>
    <row r="879" spans="5:5" ht="15.75" thickBot="1" x14ac:dyDescent="0.3">
      <c r="E879" s="17"/>
    </row>
    <row r="880" spans="5:5" ht="15.75" thickBot="1" x14ac:dyDescent="0.3">
      <c r="E880" s="17"/>
    </row>
    <row r="881" spans="5:5" ht="15.75" thickBot="1" x14ac:dyDescent="0.3">
      <c r="E881" s="17"/>
    </row>
    <row r="882" spans="5:5" ht="15.75" thickBot="1" x14ac:dyDescent="0.3">
      <c r="E882" s="17"/>
    </row>
    <row r="883" spans="5:5" ht="15.75" thickBot="1" x14ac:dyDescent="0.3">
      <c r="E883" s="17"/>
    </row>
    <row r="884" spans="5:5" ht="15.75" thickBot="1" x14ac:dyDescent="0.3">
      <c r="E884" s="17"/>
    </row>
    <row r="885" spans="5:5" ht="15.75" thickBot="1" x14ac:dyDescent="0.3">
      <c r="E885" s="17"/>
    </row>
    <row r="886" spans="5:5" ht="15.75" thickBot="1" x14ac:dyDescent="0.3">
      <c r="E886" s="17"/>
    </row>
    <row r="887" spans="5:5" ht="15.75" thickBot="1" x14ac:dyDescent="0.3">
      <c r="E887" s="17"/>
    </row>
    <row r="888" spans="5:5" ht="15.75" thickBot="1" x14ac:dyDescent="0.3">
      <c r="E888" s="17"/>
    </row>
    <row r="889" spans="5:5" ht="15.75" thickBot="1" x14ac:dyDescent="0.3">
      <c r="E889" s="17"/>
    </row>
    <row r="890" spans="5:5" ht="15.75" thickBot="1" x14ac:dyDescent="0.3">
      <c r="E890" s="17"/>
    </row>
    <row r="891" spans="5:5" ht="15.75" thickBot="1" x14ac:dyDescent="0.3">
      <c r="E891" s="17"/>
    </row>
    <row r="892" spans="5:5" ht="15.75" thickBot="1" x14ac:dyDescent="0.3">
      <c r="E892" s="17"/>
    </row>
    <row r="893" spans="5:5" ht="15.75" thickBot="1" x14ac:dyDescent="0.3">
      <c r="E893" s="17"/>
    </row>
    <row r="894" spans="5:5" ht="15.75" thickBot="1" x14ac:dyDescent="0.3">
      <c r="E894" s="17"/>
    </row>
    <row r="895" spans="5:5" ht="15.75" thickBot="1" x14ac:dyDescent="0.3">
      <c r="E895" s="17"/>
    </row>
    <row r="896" spans="5:5" ht="15.75" thickBot="1" x14ac:dyDescent="0.3">
      <c r="E896" s="17"/>
    </row>
    <row r="897" spans="5:5" ht="15.75" thickBot="1" x14ac:dyDescent="0.3">
      <c r="E897" s="17"/>
    </row>
    <row r="898" spans="5:5" ht="15.75" thickBot="1" x14ac:dyDescent="0.3">
      <c r="E898" s="17"/>
    </row>
    <row r="899" spans="5:5" ht="15.75" thickBot="1" x14ac:dyDescent="0.3">
      <c r="E899" s="17"/>
    </row>
    <row r="900" spans="5:5" ht="15.75" thickBot="1" x14ac:dyDescent="0.3">
      <c r="E900" s="17"/>
    </row>
    <row r="901" spans="5:5" ht="15.75" thickBot="1" x14ac:dyDescent="0.3">
      <c r="E901" s="17"/>
    </row>
    <row r="902" spans="5:5" ht="15.75" thickBot="1" x14ac:dyDescent="0.3">
      <c r="E902" s="17"/>
    </row>
    <row r="903" spans="5:5" ht="15.75" thickBot="1" x14ac:dyDescent="0.3">
      <c r="E903" s="17"/>
    </row>
    <row r="904" spans="5:5" ht="15.75" thickBot="1" x14ac:dyDescent="0.3">
      <c r="E904" s="17"/>
    </row>
    <row r="905" spans="5:5" ht="15.75" thickBot="1" x14ac:dyDescent="0.3">
      <c r="E905" s="17"/>
    </row>
    <row r="906" spans="5:5" ht="15.75" thickBot="1" x14ac:dyDescent="0.3">
      <c r="E906" s="17"/>
    </row>
    <row r="907" spans="5:5" ht="15.75" thickBot="1" x14ac:dyDescent="0.3">
      <c r="E907" s="17"/>
    </row>
    <row r="908" spans="5:5" ht="15.75" thickBot="1" x14ac:dyDescent="0.3">
      <c r="E908" s="17"/>
    </row>
    <row r="909" spans="5:5" ht="15.75" thickBot="1" x14ac:dyDescent="0.3">
      <c r="E909" s="17"/>
    </row>
    <row r="910" spans="5:5" ht="15.75" thickBot="1" x14ac:dyDescent="0.3">
      <c r="E910" s="17"/>
    </row>
    <row r="911" spans="5:5" ht="15.75" thickBot="1" x14ac:dyDescent="0.3">
      <c r="E911" s="17"/>
    </row>
    <row r="912" spans="5:5" ht="15.75" thickBot="1" x14ac:dyDescent="0.3">
      <c r="E912" s="17"/>
    </row>
    <row r="913" spans="5:5" ht="15.75" thickBot="1" x14ac:dyDescent="0.3">
      <c r="E913" s="17"/>
    </row>
    <row r="914" spans="5:5" ht="15.75" thickBot="1" x14ac:dyDescent="0.3">
      <c r="E914" s="17"/>
    </row>
    <row r="915" spans="5:5" ht="15.75" thickBot="1" x14ac:dyDescent="0.3">
      <c r="E915" s="17"/>
    </row>
    <row r="916" spans="5:5" ht="15.75" thickBot="1" x14ac:dyDescent="0.3">
      <c r="E916" s="17"/>
    </row>
    <row r="917" spans="5:5" ht="15.75" thickBot="1" x14ac:dyDescent="0.3">
      <c r="E917" s="17"/>
    </row>
    <row r="918" spans="5:5" ht="15.75" thickBot="1" x14ac:dyDescent="0.3">
      <c r="E918" s="17"/>
    </row>
    <row r="919" spans="5:5" ht="15.75" thickBot="1" x14ac:dyDescent="0.3">
      <c r="E919" s="17"/>
    </row>
    <row r="920" spans="5:5" ht="15.75" thickBot="1" x14ac:dyDescent="0.3">
      <c r="E920" s="17"/>
    </row>
    <row r="921" spans="5:5" ht="15.75" thickBot="1" x14ac:dyDescent="0.3">
      <c r="E921" s="17"/>
    </row>
    <row r="922" spans="5:5" ht="15.75" thickBot="1" x14ac:dyDescent="0.3">
      <c r="E922" s="17"/>
    </row>
    <row r="923" spans="5:5" ht="15.75" thickBot="1" x14ac:dyDescent="0.3">
      <c r="E923" s="17"/>
    </row>
    <row r="924" spans="5:5" ht="15.75" thickBot="1" x14ac:dyDescent="0.3">
      <c r="E924" s="17"/>
    </row>
    <row r="925" spans="5:5" ht="15.75" thickBot="1" x14ac:dyDescent="0.3">
      <c r="E925" s="17"/>
    </row>
    <row r="926" spans="5:5" ht="15.75" thickBot="1" x14ac:dyDescent="0.3">
      <c r="E926" s="17"/>
    </row>
    <row r="927" spans="5:5" ht="15.75" thickBot="1" x14ac:dyDescent="0.3">
      <c r="E927" s="17"/>
    </row>
    <row r="928" spans="5:5" ht="15.75" thickBot="1" x14ac:dyDescent="0.3">
      <c r="E928" s="17"/>
    </row>
    <row r="929" spans="5:5" ht="15.75" thickBot="1" x14ac:dyDescent="0.3">
      <c r="E929" s="17"/>
    </row>
    <row r="930" spans="5:5" ht="15.75" thickBot="1" x14ac:dyDescent="0.3">
      <c r="E930" s="17"/>
    </row>
    <row r="931" spans="5:5" ht="15.75" thickBot="1" x14ac:dyDescent="0.3">
      <c r="E931" s="17"/>
    </row>
    <row r="932" spans="5:5" ht="15.75" thickBot="1" x14ac:dyDescent="0.3">
      <c r="E932" s="17"/>
    </row>
    <row r="933" spans="5:5" ht="15.75" thickBot="1" x14ac:dyDescent="0.3">
      <c r="E933" s="17"/>
    </row>
    <row r="934" spans="5:5" ht="15.75" thickBot="1" x14ac:dyDescent="0.3">
      <c r="E934" s="17"/>
    </row>
    <row r="935" spans="5:5" ht="15.75" thickBot="1" x14ac:dyDescent="0.3">
      <c r="E935" s="17"/>
    </row>
    <row r="936" spans="5:5" ht="15.75" thickBot="1" x14ac:dyDescent="0.3">
      <c r="E936" s="17"/>
    </row>
    <row r="937" spans="5:5" ht="15.75" thickBot="1" x14ac:dyDescent="0.3">
      <c r="E937" s="17"/>
    </row>
    <row r="938" spans="5:5" ht="15.75" thickBot="1" x14ac:dyDescent="0.3">
      <c r="E938" s="17"/>
    </row>
    <row r="939" spans="5:5" ht="15.75" thickBot="1" x14ac:dyDescent="0.3">
      <c r="E939" s="17"/>
    </row>
    <row r="940" spans="5:5" ht="15.75" thickBot="1" x14ac:dyDescent="0.3">
      <c r="E940" s="17"/>
    </row>
    <row r="941" spans="5:5" ht="15.75" thickBot="1" x14ac:dyDescent="0.3">
      <c r="E941" s="17"/>
    </row>
    <row r="942" spans="5:5" ht="15.75" thickBot="1" x14ac:dyDescent="0.3">
      <c r="E942" s="17"/>
    </row>
    <row r="943" spans="5:5" ht="15.75" thickBot="1" x14ac:dyDescent="0.3">
      <c r="E943" s="17"/>
    </row>
    <row r="944" spans="5:5" ht="15.75" thickBot="1" x14ac:dyDescent="0.3">
      <c r="E944" s="17"/>
    </row>
    <row r="945" spans="5:5" ht="15.75" thickBot="1" x14ac:dyDescent="0.3">
      <c r="E945" s="17"/>
    </row>
    <row r="946" spans="5:5" ht="15.75" thickBot="1" x14ac:dyDescent="0.3">
      <c r="E946" s="17"/>
    </row>
    <row r="947" spans="5:5" ht="15.75" thickBot="1" x14ac:dyDescent="0.3">
      <c r="E947" s="17"/>
    </row>
    <row r="948" spans="5:5" ht="15.75" thickBot="1" x14ac:dyDescent="0.3">
      <c r="E948" s="17"/>
    </row>
    <row r="949" spans="5:5" ht="15.75" thickBot="1" x14ac:dyDescent="0.3">
      <c r="E949" s="17"/>
    </row>
    <row r="950" spans="5:5" ht="15.75" thickBot="1" x14ac:dyDescent="0.3">
      <c r="E950" s="17"/>
    </row>
    <row r="951" spans="5:5" ht="15.75" thickBot="1" x14ac:dyDescent="0.3">
      <c r="E951" s="17"/>
    </row>
    <row r="952" spans="5:5" ht="15.75" thickBot="1" x14ac:dyDescent="0.3">
      <c r="E952" s="17"/>
    </row>
    <row r="953" spans="5:5" ht="15.75" thickBot="1" x14ac:dyDescent="0.3">
      <c r="E953" s="17"/>
    </row>
    <row r="954" spans="5:5" ht="15.75" thickBot="1" x14ac:dyDescent="0.3">
      <c r="E954" s="17"/>
    </row>
    <row r="955" spans="5:5" ht="15.75" thickBot="1" x14ac:dyDescent="0.3">
      <c r="E955" s="17"/>
    </row>
    <row r="956" spans="5:5" ht="15.75" thickBot="1" x14ac:dyDescent="0.3">
      <c r="E956" s="17"/>
    </row>
    <row r="957" spans="5:5" ht="15.75" thickBot="1" x14ac:dyDescent="0.3">
      <c r="E957" s="17"/>
    </row>
    <row r="958" spans="5:5" ht="15.75" thickBot="1" x14ac:dyDescent="0.3">
      <c r="E958" s="17"/>
    </row>
    <row r="959" spans="5:5" ht="15.75" thickBot="1" x14ac:dyDescent="0.3">
      <c r="E959" s="17"/>
    </row>
    <row r="960" spans="5:5" ht="15.75" thickBot="1" x14ac:dyDescent="0.3">
      <c r="E960" s="17"/>
    </row>
    <row r="961" spans="5:5" ht="15.75" thickBot="1" x14ac:dyDescent="0.3">
      <c r="E961" s="17"/>
    </row>
    <row r="962" spans="5:5" ht="15.75" thickBot="1" x14ac:dyDescent="0.3">
      <c r="E962" s="17"/>
    </row>
    <row r="963" spans="5:5" ht="15.75" thickBot="1" x14ac:dyDescent="0.3">
      <c r="E963" s="17"/>
    </row>
    <row r="964" spans="5:5" ht="15.75" thickBot="1" x14ac:dyDescent="0.3">
      <c r="E964" s="17"/>
    </row>
    <row r="965" spans="5:5" ht="15.75" thickBot="1" x14ac:dyDescent="0.3">
      <c r="E965" s="17"/>
    </row>
    <row r="966" spans="5:5" ht="15.75" thickBot="1" x14ac:dyDescent="0.3">
      <c r="E966" s="17"/>
    </row>
    <row r="967" spans="5:5" ht="15.75" thickBot="1" x14ac:dyDescent="0.3">
      <c r="E967" s="17"/>
    </row>
    <row r="968" spans="5:5" ht="15.75" thickBot="1" x14ac:dyDescent="0.3">
      <c r="E968" s="17"/>
    </row>
    <row r="969" spans="5:5" ht="15.75" thickBot="1" x14ac:dyDescent="0.3">
      <c r="E969" s="17"/>
    </row>
    <row r="970" spans="5:5" ht="15.75" thickBot="1" x14ac:dyDescent="0.3">
      <c r="E970" s="17"/>
    </row>
    <row r="971" spans="5:5" ht="15.75" thickBot="1" x14ac:dyDescent="0.3">
      <c r="E971" s="17"/>
    </row>
    <row r="972" spans="5:5" ht="15.75" thickBot="1" x14ac:dyDescent="0.3">
      <c r="E972" s="17"/>
    </row>
    <row r="973" spans="5:5" ht="15.75" thickBot="1" x14ac:dyDescent="0.3">
      <c r="E973" s="17"/>
    </row>
    <row r="974" spans="5:5" ht="15.75" thickBot="1" x14ac:dyDescent="0.3">
      <c r="E974" s="17"/>
    </row>
    <row r="975" spans="5:5" ht="15.75" thickBot="1" x14ac:dyDescent="0.3">
      <c r="E975" s="17"/>
    </row>
    <row r="976" spans="5:5" ht="15.75" thickBot="1" x14ac:dyDescent="0.3">
      <c r="E976" s="17"/>
    </row>
    <row r="977" spans="5:5" ht="15.75" thickBot="1" x14ac:dyDescent="0.3">
      <c r="E977" s="17"/>
    </row>
    <row r="978" spans="5:5" ht="15.75" thickBot="1" x14ac:dyDescent="0.3">
      <c r="E978" s="17"/>
    </row>
    <row r="979" spans="5:5" ht="15.75" thickBot="1" x14ac:dyDescent="0.3">
      <c r="E979" s="17"/>
    </row>
    <row r="980" spans="5:5" ht="15.75" thickBot="1" x14ac:dyDescent="0.3">
      <c r="E980" s="17"/>
    </row>
    <row r="981" spans="5:5" ht="15.75" thickBot="1" x14ac:dyDescent="0.3">
      <c r="E981" s="17"/>
    </row>
    <row r="982" spans="5:5" ht="15.75" thickBot="1" x14ac:dyDescent="0.3">
      <c r="E982" s="17"/>
    </row>
    <row r="983" spans="5:5" ht="15.75" thickBot="1" x14ac:dyDescent="0.3">
      <c r="E983" s="17"/>
    </row>
    <row r="984" spans="5:5" ht="15.75" thickBot="1" x14ac:dyDescent="0.3">
      <c r="E984" s="17"/>
    </row>
    <row r="985" spans="5:5" ht="15.75" thickBot="1" x14ac:dyDescent="0.3">
      <c r="E985" s="17"/>
    </row>
    <row r="986" spans="5:5" ht="15.75" thickBot="1" x14ac:dyDescent="0.3">
      <c r="E986" s="17"/>
    </row>
    <row r="987" spans="5:5" ht="15.75" thickBot="1" x14ac:dyDescent="0.3">
      <c r="E987" s="17"/>
    </row>
    <row r="988" spans="5:5" ht="15.75" thickBot="1" x14ac:dyDescent="0.3">
      <c r="E988" s="17"/>
    </row>
    <row r="989" spans="5:5" ht="15.75" thickBot="1" x14ac:dyDescent="0.3">
      <c r="E989" s="17"/>
    </row>
    <row r="990" spans="5:5" ht="15.75" thickBot="1" x14ac:dyDescent="0.3">
      <c r="E990" s="17"/>
    </row>
    <row r="991" spans="5:5" ht="15.75" thickBot="1" x14ac:dyDescent="0.3">
      <c r="E991" s="17"/>
    </row>
    <row r="992" spans="5:5" ht="15.75" thickBot="1" x14ac:dyDescent="0.3">
      <c r="E992" s="17"/>
    </row>
    <row r="993" spans="5:5" ht="15.75" thickBot="1" x14ac:dyDescent="0.3">
      <c r="E993" s="17"/>
    </row>
    <row r="994" spans="5:5" ht="15.75" thickBot="1" x14ac:dyDescent="0.3">
      <c r="E994" s="17"/>
    </row>
    <row r="995" spans="5:5" ht="15.75" thickBot="1" x14ac:dyDescent="0.3">
      <c r="E995" s="17"/>
    </row>
    <row r="996" spans="5:5" ht="15.75" thickBot="1" x14ac:dyDescent="0.3">
      <c r="E996" s="17"/>
    </row>
    <row r="997" spans="5:5" ht="15.75" thickBot="1" x14ac:dyDescent="0.3">
      <c r="E997" s="17"/>
    </row>
    <row r="998" spans="5:5" ht="15.75" thickBot="1" x14ac:dyDescent="0.3">
      <c r="E998" s="17"/>
    </row>
    <row r="999" spans="5:5" ht="15.75" thickBot="1" x14ac:dyDescent="0.3">
      <c r="E999" s="17"/>
    </row>
    <row r="1000" spans="5:5" ht="15.75" thickBot="1" x14ac:dyDescent="0.3">
      <c r="E1000" s="17"/>
    </row>
  </sheetData>
  <sortState xmlns:xlrd2="http://schemas.microsoft.com/office/spreadsheetml/2017/richdata2" ref="A2:E1000">
    <sortCondition ref="A2:A100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346BD-D4AC-4367-9D1E-9CF0FB1D9DF8}">
  <dimension ref="A1:E1000"/>
  <sheetViews>
    <sheetView workbookViewId="0">
      <selection activeCell="G51" sqref="G51"/>
    </sheetView>
  </sheetViews>
  <sheetFormatPr baseColWidth="10" defaultRowHeight="15" x14ac:dyDescent="0.25"/>
  <cols>
    <col min="1" max="1" width="11.42578125" style="4"/>
    <col min="2" max="2" width="20.140625" customWidth="1"/>
    <col min="3" max="3" width="23" style="4" customWidth="1"/>
    <col min="4" max="4" width="24.140625" customWidth="1"/>
  </cols>
  <sheetData>
    <row r="1" spans="1:5" ht="15.75" thickBot="1" x14ac:dyDescent="0.3">
      <c r="A1" s="7" t="s">
        <v>1067</v>
      </c>
      <c r="B1" s="5" t="s">
        <v>0</v>
      </c>
      <c r="C1" s="5" t="s">
        <v>51</v>
      </c>
      <c r="D1" s="5" t="s">
        <v>52</v>
      </c>
      <c r="E1" s="16" t="s">
        <v>1016</v>
      </c>
    </row>
    <row r="2" spans="1:5" ht="90.75" thickBot="1" x14ac:dyDescent="0.3">
      <c r="A2" s="4">
        <f>_xlfn.XLOOKUP(E2,Orden_preguntas!$B:$B,Orden_preguntas!$A:$A)</f>
        <v>1</v>
      </c>
      <c r="B2" s="6" t="s">
        <v>710</v>
      </c>
      <c r="C2" s="8">
        <v>0.9</v>
      </c>
      <c r="D2" s="6" t="s">
        <v>760</v>
      </c>
      <c r="E2" s="17" t="s">
        <v>1027</v>
      </c>
    </row>
    <row r="3" spans="1:5" ht="90.75" thickBot="1" x14ac:dyDescent="0.3">
      <c r="A3" s="4">
        <f>_xlfn.XLOOKUP(E3,Orden_preguntas!$B:$B,Orden_preguntas!$A:$A)</f>
        <v>2</v>
      </c>
      <c r="B3" s="6" t="s">
        <v>706</v>
      </c>
      <c r="C3" s="8">
        <v>1</v>
      </c>
      <c r="D3" s="6" t="s">
        <v>756</v>
      </c>
      <c r="E3" s="17" t="s">
        <v>1032</v>
      </c>
    </row>
    <row r="4" spans="1:5" ht="105.75" thickBot="1" x14ac:dyDescent="0.3">
      <c r="A4" s="4">
        <f>_xlfn.XLOOKUP(E4,Orden_preguntas!$B:$B,Orden_preguntas!$A:$A)</f>
        <v>3</v>
      </c>
      <c r="B4" s="6" t="s">
        <v>714</v>
      </c>
      <c r="C4" s="8">
        <v>1</v>
      </c>
      <c r="D4" s="6" t="s">
        <v>764</v>
      </c>
      <c r="E4" s="17" t="s">
        <v>1022</v>
      </c>
    </row>
    <row r="5" spans="1:5" ht="105.75" thickBot="1" x14ac:dyDescent="0.3">
      <c r="A5" s="4">
        <f>_xlfn.XLOOKUP(E5,Orden_preguntas!$B:$B,Orden_preguntas!$A:$A)</f>
        <v>4</v>
      </c>
      <c r="B5" s="6" t="s">
        <v>716</v>
      </c>
      <c r="C5" s="8">
        <v>1</v>
      </c>
      <c r="D5" s="6" t="s">
        <v>766</v>
      </c>
      <c r="E5" s="17" t="s">
        <v>1036</v>
      </c>
    </row>
    <row r="6" spans="1:5" ht="105.75" thickBot="1" x14ac:dyDescent="0.3">
      <c r="A6" s="4">
        <f>_xlfn.XLOOKUP(E6,Orden_preguntas!$B:$B,Orden_preguntas!$A:$A)</f>
        <v>5</v>
      </c>
      <c r="B6" s="6" t="s">
        <v>705</v>
      </c>
      <c r="C6" s="8">
        <v>1</v>
      </c>
      <c r="D6" s="6" t="s">
        <v>755</v>
      </c>
      <c r="E6" s="17" t="s">
        <v>1028</v>
      </c>
    </row>
    <row r="7" spans="1:5" ht="90.75" thickBot="1" x14ac:dyDescent="0.3">
      <c r="A7" s="4">
        <f>_xlfn.XLOOKUP(E7,Orden_preguntas!$B:$B,Orden_preguntas!$A:$A)</f>
        <v>6</v>
      </c>
      <c r="B7" s="6" t="s">
        <v>715</v>
      </c>
      <c r="C7" s="8">
        <v>1</v>
      </c>
      <c r="D7" s="6" t="s">
        <v>765</v>
      </c>
      <c r="E7" s="17" t="s">
        <v>1024</v>
      </c>
    </row>
    <row r="8" spans="1:5" ht="120.75" thickBot="1" x14ac:dyDescent="0.3">
      <c r="A8" s="4">
        <f>_xlfn.XLOOKUP(E8,Orden_preguntas!$B:$B,Orden_preguntas!$A:$A)</f>
        <v>7</v>
      </c>
      <c r="B8" s="6" t="s">
        <v>708</v>
      </c>
      <c r="C8" s="8">
        <v>0.9</v>
      </c>
      <c r="D8" s="6" t="s">
        <v>758</v>
      </c>
      <c r="E8" s="17" t="s">
        <v>1030</v>
      </c>
    </row>
    <row r="9" spans="1:5" ht="105.75" thickBot="1" x14ac:dyDescent="0.3">
      <c r="A9" s="4">
        <f>_xlfn.XLOOKUP(E9,Orden_preguntas!$B:$B,Orden_preguntas!$A:$A)</f>
        <v>8</v>
      </c>
      <c r="B9" s="6" t="s">
        <v>717</v>
      </c>
      <c r="C9" s="8">
        <v>0.9</v>
      </c>
      <c r="D9" s="6" t="s">
        <v>767</v>
      </c>
      <c r="E9" s="17" t="s">
        <v>1020</v>
      </c>
    </row>
    <row r="10" spans="1:5" ht="90.75" thickBot="1" x14ac:dyDescent="0.3">
      <c r="A10" s="4">
        <f>_xlfn.XLOOKUP(E10,Orden_preguntas!$B:$B,Orden_preguntas!$A:$A)</f>
        <v>9</v>
      </c>
      <c r="B10" s="6" t="s">
        <v>722</v>
      </c>
      <c r="C10" s="8">
        <v>0.9</v>
      </c>
      <c r="D10" s="6" t="s">
        <v>772</v>
      </c>
      <c r="E10" s="17" t="s">
        <v>1034</v>
      </c>
    </row>
    <row r="11" spans="1:5" ht="90.75" thickBot="1" x14ac:dyDescent="0.3">
      <c r="A11" s="4">
        <f>_xlfn.XLOOKUP(E11,Orden_preguntas!$B:$B,Orden_preguntas!$A:$A)</f>
        <v>10</v>
      </c>
      <c r="B11" s="6" t="s">
        <v>719</v>
      </c>
      <c r="C11" s="8">
        <v>0.2</v>
      </c>
      <c r="D11" s="6" t="s">
        <v>769</v>
      </c>
      <c r="E11" s="17" t="s">
        <v>1035</v>
      </c>
    </row>
    <row r="12" spans="1:5" ht="135.75" thickBot="1" x14ac:dyDescent="0.3">
      <c r="A12" s="4">
        <f>_xlfn.XLOOKUP(E12,Orden_preguntas!$B:$B,Orden_preguntas!$A:$A)</f>
        <v>11</v>
      </c>
      <c r="B12" s="6" t="s">
        <v>709</v>
      </c>
      <c r="C12" s="8">
        <v>1</v>
      </c>
      <c r="D12" s="6" t="s">
        <v>759</v>
      </c>
      <c r="E12" s="17" t="s">
        <v>1017</v>
      </c>
    </row>
    <row r="13" spans="1:5" ht="120.75" thickBot="1" x14ac:dyDescent="0.3">
      <c r="A13" s="4">
        <f>_xlfn.XLOOKUP(E13,Orden_preguntas!$B:$B,Orden_preguntas!$A:$A)</f>
        <v>12</v>
      </c>
      <c r="B13" s="6" t="s">
        <v>721</v>
      </c>
      <c r="C13" s="8">
        <v>0.4</v>
      </c>
      <c r="D13" s="6" t="s">
        <v>771</v>
      </c>
      <c r="E13" s="17" t="s">
        <v>1023</v>
      </c>
    </row>
    <row r="14" spans="1:5" ht="135.75" thickBot="1" x14ac:dyDescent="0.3">
      <c r="A14" s="4">
        <f>_xlfn.XLOOKUP(E14,Orden_preguntas!$B:$B,Orden_preguntas!$A:$A)</f>
        <v>13</v>
      </c>
      <c r="B14" s="6" t="s">
        <v>713</v>
      </c>
      <c r="C14" s="8">
        <v>0.3</v>
      </c>
      <c r="D14" s="6" t="s">
        <v>763</v>
      </c>
      <c r="E14" s="17" t="s">
        <v>1033</v>
      </c>
    </row>
    <row r="15" spans="1:5" ht="105.75" thickBot="1" x14ac:dyDescent="0.3">
      <c r="A15" s="4">
        <f>_xlfn.XLOOKUP(E15,Orden_preguntas!$B:$B,Orden_preguntas!$A:$A)</f>
        <v>14</v>
      </c>
      <c r="B15" s="6" t="s">
        <v>712</v>
      </c>
      <c r="C15" s="8">
        <v>0.3</v>
      </c>
      <c r="D15" s="6" t="s">
        <v>762</v>
      </c>
      <c r="E15" s="17" t="s">
        <v>1018</v>
      </c>
    </row>
    <row r="16" spans="1:5" ht="150.75" thickBot="1" x14ac:dyDescent="0.3">
      <c r="A16" s="4">
        <f>_xlfn.XLOOKUP(E16,Orden_preguntas!$B:$B,Orden_preguntas!$A:$A)</f>
        <v>15</v>
      </c>
      <c r="B16" s="6" t="s">
        <v>711</v>
      </c>
      <c r="C16" s="8">
        <v>1</v>
      </c>
      <c r="D16" s="6" t="s">
        <v>761</v>
      </c>
      <c r="E16" s="17" t="s">
        <v>1025</v>
      </c>
    </row>
    <row r="17" spans="1:5" ht="105.75" thickBot="1" x14ac:dyDescent="0.3">
      <c r="A17" s="4">
        <f>_xlfn.XLOOKUP(E17,Orden_preguntas!$B:$B,Orden_preguntas!$A:$A)</f>
        <v>16</v>
      </c>
      <c r="B17" s="6" t="s">
        <v>703</v>
      </c>
      <c r="C17" s="8">
        <v>0.3</v>
      </c>
      <c r="D17" s="6" t="s">
        <v>753</v>
      </c>
      <c r="E17" s="17" t="s">
        <v>1019</v>
      </c>
    </row>
    <row r="18" spans="1:5" ht="75.75" thickBot="1" x14ac:dyDescent="0.3">
      <c r="A18" s="4">
        <f>_xlfn.XLOOKUP(E18,Orden_preguntas!$B:$B,Orden_preguntas!$A:$A)</f>
        <v>17</v>
      </c>
      <c r="B18" s="6" t="s">
        <v>720</v>
      </c>
      <c r="C18" s="8">
        <v>0.3</v>
      </c>
      <c r="D18" s="6" t="s">
        <v>770</v>
      </c>
      <c r="E18" s="17" t="s">
        <v>1026</v>
      </c>
    </row>
    <row r="19" spans="1:5" ht="75.75" thickBot="1" x14ac:dyDescent="0.3">
      <c r="A19" s="4">
        <f>_xlfn.XLOOKUP(E19,Orden_preguntas!$B:$B,Orden_preguntas!$A:$A)</f>
        <v>18</v>
      </c>
      <c r="B19" s="6" t="s">
        <v>718</v>
      </c>
      <c r="C19" s="8">
        <v>0.3</v>
      </c>
      <c r="D19" s="6" t="s">
        <v>768</v>
      </c>
      <c r="E19" s="17" t="s">
        <v>1031</v>
      </c>
    </row>
    <row r="20" spans="1:5" ht="135.75" thickBot="1" x14ac:dyDescent="0.3">
      <c r="A20" s="4">
        <f>_xlfn.XLOOKUP(E20,Orden_preguntas!$B:$B,Orden_preguntas!$A:$A)</f>
        <v>19</v>
      </c>
      <c r="B20" s="6" t="s">
        <v>704</v>
      </c>
      <c r="C20" s="8">
        <v>0.2</v>
      </c>
      <c r="D20" s="6" t="s">
        <v>754</v>
      </c>
      <c r="E20" s="17" t="s">
        <v>1029</v>
      </c>
    </row>
    <row r="21" spans="1:5" ht="135.75" thickBot="1" x14ac:dyDescent="0.3">
      <c r="A21" s="4">
        <f>_xlfn.XLOOKUP(E21,Orden_preguntas!$B:$B,Orden_preguntas!$A:$A)</f>
        <v>20</v>
      </c>
      <c r="B21" s="6" t="s">
        <v>707</v>
      </c>
      <c r="C21" s="8">
        <v>0.2</v>
      </c>
      <c r="D21" s="6" t="s">
        <v>757</v>
      </c>
      <c r="E21" s="17" t="s">
        <v>1021</v>
      </c>
    </row>
    <row r="22" spans="1:5" ht="120.75" thickBot="1" x14ac:dyDescent="0.3">
      <c r="A22" s="4">
        <f>_xlfn.XLOOKUP(E22,Orden_preguntas!$B:$B,Orden_preguntas!$A:$A)</f>
        <v>21</v>
      </c>
      <c r="B22" s="6" t="s">
        <v>724</v>
      </c>
      <c r="C22" s="8">
        <v>0.3</v>
      </c>
      <c r="D22" s="6" t="s">
        <v>774</v>
      </c>
      <c r="E22" s="17" t="s">
        <v>1038</v>
      </c>
    </row>
    <row r="23" spans="1:5" ht="150.75" thickBot="1" x14ac:dyDescent="0.3">
      <c r="A23" s="4">
        <f>_xlfn.XLOOKUP(E23,Orden_preguntas!$B:$B,Orden_preguntas!$A:$A)</f>
        <v>22</v>
      </c>
      <c r="B23" s="6" t="s">
        <v>727</v>
      </c>
      <c r="C23" s="8">
        <v>0.3</v>
      </c>
      <c r="D23" s="6" t="s">
        <v>777</v>
      </c>
      <c r="E23" s="17" t="s">
        <v>1048</v>
      </c>
    </row>
    <row r="24" spans="1:5" ht="120.75" thickBot="1" x14ac:dyDescent="0.3">
      <c r="A24" s="4">
        <f>_xlfn.XLOOKUP(E24,Orden_preguntas!$B:$B,Orden_preguntas!$A:$A)</f>
        <v>23</v>
      </c>
      <c r="B24" s="6" t="s">
        <v>730</v>
      </c>
      <c r="C24" s="8">
        <v>0.3</v>
      </c>
      <c r="D24" s="6" t="s">
        <v>780</v>
      </c>
      <c r="E24" s="17" t="s">
        <v>1056</v>
      </c>
    </row>
    <row r="25" spans="1:5" ht="135.75" thickBot="1" x14ac:dyDescent="0.3">
      <c r="A25" s="4">
        <f>_xlfn.XLOOKUP(E25,Orden_preguntas!$B:$B,Orden_preguntas!$A:$A)</f>
        <v>24</v>
      </c>
      <c r="B25" s="6" t="s">
        <v>723</v>
      </c>
      <c r="C25" s="8">
        <v>0.3</v>
      </c>
      <c r="D25" s="6" t="s">
        <v>773</v>
      </c>
      <c r="E25" s="17" t="s">
        <v>1037</v>
      </c>
    </row>
    <row r="26" spans="1:5" ht="120.75" thickBot="1" x14ac:dyDescent="0.3">
      <c r="A26" s="4">
        <f>_xlfn.XLOOKUP(E26,Orden_preguntas!$B:$B,Orden_preguntas!$A:$A)</f>
        <v>25</v>
      </c>
      <c r="B26" s="6" t="s">
        <v>725</v>
      </c>
      <c r="C26" s="8">
        <v>0.3</v>
      </c>
      <c r="D26" s="6" t="s">
        <v>775</v>
      </c>
      <c r="E26" s="17" t="s">
        <v>1039</v>
      </c>
    </row>
    <row r="27" spans="1:5" ht="135.75" thickBot="1" x14ac:dyDescent="0.3">
      <c r="A27" s="4">
        <f>_xlfn.XLOOKUP(E27,Orden_preguntas!$B:$B,Orden_preguntas!$A:$A)</f>
        <v>26</v>
      </c>
      <c r="B27" s="6" t="s">
        <v>726</v>
      </c>
      <c r="C27" s="8">
        <v>0.3</v>
      </c>
      <c r="D27" s="6" t="s">
        <v>776</v>
      </c>
      <c r="E27" s="17" t="s">
        <v>1041</v>
      </c>
    </row>
    <row r="28" spans="1:5" ht="105.75" thickBot="1" x14ac:dyDescent="0.3">
      <c r="A28" s="4">
        <f>_xlfn.XLOOKUP(E28,Orden_preguntas!$B:$B,Orden_preguntas!$A:$A)</f>
        <v>27</v>
      </c>
      <c r="B28" s="6" t="s">
        <v>728</v>
      </c>
      <c r="C28" s="8">
        <v>0.3</v>
      </c>
      <c r="D28" s="6" t="s">
        <v>778</v>
      </c>
      <c r="E28" s="17" t="s">
        <v>1040</v>
      </c>
    </row>
    <row r="29" spans="1:5" ht="105.75" thickBot="1" x14ac:dyDescent="0.3">
      <c r="A29" s="4">
        <f>_xlfn.XLOOKUP(E29,Orden_preguntas!$B:$B,Orden_preguntas!$A:$A)</f>
        <v>28</v>
      </c>
      <c r="B29" s="6" t="s">
        <v>739</v>
      </c>
      <c r="C29" s="8">
        <v>0.9</v>
      </c>
      <c r="D29" s="6" t="s">
        <v>789</v>
      </c>
      <c r="E29" s="17" t="s">
        <v>1042</v>
      </c>
    </row>
    <row r="30" spans="1:5" ht="135.75" thickBot="1" x14ac:dyDescent="0.3">
      <c r="A30" s="4">
        <f>_xlfn.XLOOKUP(E30,Orden_preguntas!$B:$B,Orden_preguntas!$A:$A)</f>
        <v>29</v>
      </c>
      <c r="B30" s="6" t="s">
        <v>740</v>
      </c>
      <c r="C30" s="8">
        <v>0.3</v>
      </c>
      <c r="D30" s="6" t="s">
        <v>790</v>
      </c>
      <c r="E30" s="17" t="s">
        <v>1043</v>
      </c>
    </row>
    <row r="31" spans="1:5" ht="150.75" thickBot="1" x14ac:dyDescent="0.3">
      <c r="A31" s="4">
        <f>_xlfn.XLOOKUP(E31,Orden_preguntas!$B:$B,Orden_preguntas!$A:$A)</f>
        <v>30</v>
      </c>
      <c r="B31" s="6" t="s">
        <v>735</v>
      </c>
      <c r="C31" s="8">
        <v>0.2</v>
      </c>
      <c r="D31" s="6" t="s">
        <v>785</v>
      </c>
      <c r="E31" s="17" t="s">
        <v>1045</v>
      </c>
    </row>
    <row r="32" spans="1:5" ht="150.75" thickBot="1" x14ac:dyDescent="0.3">
      <c r="A32" s="4">
        <f>_xlfn.XLOOKUP(E32,Orden_preguntas!$B:$B,Orden_preguntas!$A:$A)</f>
        <v>31</v>
      </c>
      <c r="B32" s="6" t="s">
        <v>734</v>
      </c>
      <c r="C32" s="8">
        <v>0.2</v>
      </c>
      <c r="D32" s="6" t="s">
        <v>784</v>
      </c>
      <c r="E32" s="17" t="s">
        <v>1051</v>
      </c>
    </row>
    <row r="33" spans="1:5" ht="180.75" thickBot="1" x14ac:dyDescent="0.3">
      <c r="A33" s="4">
        <f>_xlfn.XLOOKUP(E33,Orden_preguntas!$B:$B,Orden_preguntas!$A:$A)</f>
        <v>32</v>
      </c>
      <c r="B33" s="6" t="s">
        <v>742</v>
      </c>
      <c r="C33" s="8">
        <v>0.9</v>
      </c>
      <c r="D33" s="6" t="s">
        <v>792</v>
      </c>
      <c r="E33" s="17" t="s">
        <v>1047</v>
      </c>
    </row>
    <row r="34" spans="1:5" ht="165.75" thickBot="1" x14ac:dyDescent="0.3">
      <c r="A34" s="4">
        <f>_xlfn.XLOOKUP(E34,Orden_preguntas!$B:$B,Orden_preguntas!$A:$A)</f>
        <v>33</v>
      </c>
      <c r="B34" s="6" t="s">
        <v>738</v>
      </c>
      <c r="C34" s="8">
        <v>0.9</v>
      </c>
      <c r="D34" s="6" t="s">
        <v>788</v>
      </c>
      <c r="E34" s="17" t="s">
        <v>1053</v>
      </c>
    </row>
    <row r="35" spans="1:5" ht="120.75" thickBot="1" x14ac:dyDescent="0.3">
      <c r="A35" s="4">
        <f>_xlfn.XLOOKUP(E35,Orden_preguntas!$B:$B,Orden_preguntas!$A:$A)</f>
        <v>34</v>
      </c>
      <c r="B35" s="6" t="s">
        <v>733</v>
      </c>
      <c r="C35" s="8">
        <v>0.3</v>
      </c>
      <c r="D35" s="6" t="s">
        <v>783</v>
      </c>
      <c r="E35" s="17" t="s">
        <v>1057</v>
      </c>
    </row>
    <row r="36" spans="1:5" ht="165.75" thickBot="1" x14ac:dyDescent="0.3">
      <c r="A36" s="4">
        <f>_xlfn.XLOOKUP(E36,Orden_preguntas!$B:$B,Orden_preguntas!$A:$A)</f>
        <v>35</v>
      </c>
      <c r="B36" s="6" t="s">
        <v>732</v>
      </c>
      <c r="C36" s="8">
        <v>0.2</v>
      </c>
      <c r="D36" s="6" t="s">
        <v>782</v>
      </c>
      <c r="E36" s="17" t="s">
        <v>1046</v>
      </c>
    </row>
    <row r="37" spans="1:5" ht="135.75" thickBot="1" x14ac:dyDescent="0.3">
      <c r="A37" s="4">
        <f>_xlfn.XLOOKUP(E37,Orden_preguntas!$B:$B,Orden_preguntas!$A:$A)</f>
        <v>36</v>
      </c>
      <c r="B37" s="6" t="s">
        <v>731</v>
      </c>
      <c r="C37" s="8">
        <v>0.3</v>
      </c>
      <c r="D37" s="6" t="s">
        <v>781</v>
      </c>
      <c r="E37" s="17" t="s">
        <v>1049</v>
      </c>
    </row>
    <row r="38" spans="1:5" ht="135.75" thickBot="1" x14ac:dyDescent="0.3">
      <c r="A38" s="4">
        <f>_xlfn.XLOOKUP(E38,Orden_preguntas!$B:$B,Orden_preguntas!$A:$A)</f>
        <v>37</v>
      </c>
      <c r="B38" s="6" t="s">
        <v>741</v>
      </c>
      <c r="C38" s="8">
        <v>0.2</v>
      </c>
      <c r="D38" s="6" t="s">
        <v>791</v>
      </c>
      <c r="E38" s="17" t="s">
        <v>1052</v>
      </c>
    </row>
    <row r="39" spans="1:5" ht="105.75" thickBot="1" x14ac:dyDescent="0.3">
      <c r="A39" s="4">
        <f>_xlfn.XLOOKUP(E39,Orden_preguntas!$B:$B,Orden_preguntas!$A:$A)</f>
        <v>38</v>
      </c>
      <c r="B39" s="6" t="s">
        <v>736</v>
      </c>
      <c r="C39" s="8">
        <v>0.2</v>
      </c>
      <c r="D39" s="6" t="s">
        <v>786</v>
      </c>
      <c r="E39" s="17" t="s">
        <v>1044</v>
      </c>
    </row>
    <row r="40" spans="1:5" ht="165.75" thickBot="1" x14ac:dyDescent="0.3">
      <c r="A40" s="4">
        <f>_xlfn.XLOOKUP(E40,Orden_preguntas!$B:$B,Orden_preguntas!$A:$A)</f>
        <v>39</v>
      </c>
      <c r="B40" s="6" t="s">
        <v>729</v>
      </c>
      <c r="C40" s="8">
        <v>1</v>
      </c>
      <c r="D40" s="6" t="s">
        <v>779</v>
      </c>
      <c r="E40" s="17" t="s">
        <v>1055</v>
      </c>
    </row>
    <row r="41" spans="1:5" ht="165.75" thickBot="1" x14ac:dyDescent="0.3">
      <c r="A41" s="4">
        <f>_xlfn.XLOOKUP(E41,Orden_preguntas!$B:$B,Orden_preguntas!$A:$A)</f>
        <v>40</v>
      </c>
      <c r="B41" s="6" t="s">
        <v>737</v>
      </c>
      <c r="C41" s="8">
        <v>0.2</v>
      </c>
      <c r="D41" s="6" t="s">
        <v>787</v>
      </c>
      <c r="E41" s="17" t="s">
        <v>1050</v>
      </c>
    </row>
    <row r="42" spans="1:5" ht="225.75" thickBot="1" x14ac:dyDescent="0.3">
      <c r="A42" s="4">
        <f>_xlfn.XLOOKUP(E42,Orden_preguntas!$B:$B,Orden_preguntas!$A:$A)</f>
        <v>41</v>
      </c>
      <c r="B42" s="6" t="s">
        <v>752</v>
      </c>
      <c r="C42" s="8">
        <v>0.4</v>
      </c>
      <c r="D42" s="6" t="s">
        <v>802</v>
      </c>
      <c r="E42" s="17" t="s">
        <v>1054</v>
      </c>
    </row>
    <row r="43" spans="1:5" ht="165.75" thickBot="1" x14ac:dyDescent="0.3">
      <c r="A43" s="4">
        <f>_xlfn.XLOOKUP(E43,Orden_preguntas!$B:$B,Orden_preguntas!$A:$A)</f>
        <v>42</v>
      </c>
      <c r="B43" s="6" t="s">
        <v>744</v>
      </c>
      <c r="C43" s="8">
        <v>0.2</v>
      </c>
      <c r="D43" s="6" t="s">
        <v>794</v>
      </c>
      <c r="E43" s="17" t="s">
        <v>1065</v>
      </c>
    </row>
    <row r="44" spans="1:5" ht="165.75" thickBot="1" x14ac:dyDescent="0.3">
      <c r="A44" s="4">
        <f>_xlfn.XLOOKUP(E44,Orden_preguntas!$B:$B,Orden_preguntas!$A:$A)</f>
        <v>43</v>
      </c>
      <c r="B44" s="6" t="s">
        <v>743</v>
      </c>
      <c r="C44" s="8">
        <v>0.3</v>
      </c>
      <c r="D44" s="6" t="s">
        <v>793</v>
      </c>
      <c r="E44" s="17" t="s">
        <v>1059</v>
      </c>
    </row>
    <row r="45" spans="1:5" ht="135.75" thickBot="1" x14ac:dyDescent="0.3">
      <c r="A45" s="4">
        <f>_xlfn.XLOOKUP(E45,Orden_preguntas!$B:$B,Orden_preguntas!$A:$A)</f>
        <v>44</v>
      </c>
      <c r="B45" s="6" t="s">
        <v>745</v>
      </c>
      <c r="C45" s="8">
        <v>1</v>
      </c>
      <c r="D45" s="6" t="s">
        <v>795</v>
      </c>
      <c r="E45" s="17" t="s">
        <v>1058</v>
      </c>
    </row>
    <row r="46" spans="1:5" ht="150.75" thickBot="1" x14ac:dyDescent="0.3">
      <c r="A46" s="4">
        <f>_xlfn.XLOOKUP(E46,Orden_preguntas!$B:$B,Orden_preguntas!$A:$A)</f>
        <v>45</v>
      </c>
      <c r="B46" s="6" t="s">
        <v>749</v>
      </c>
      <c r="C46" s="8">
        <v>0.3</v>
      </c>
      <c r="D46" s="6" t="s">
        <v>799</v>
      </c>
      <c r="E46" s="17" t="s">
        <v>1061</v>
      </c>
    </row>
    <row r="47" spans="1:5" ht="105.75" thickBot="1" x14ac:dyDescent="0.3">
      <c r="A47" s="4">
        <f>_xlfn.XLOOKUP(E47,Orden_preguntas!$B:$B,Orden_preguntas!$A:$A)</f>
        <v>46</v>
      </c>
      <c r="B47" s="6" t="s">
        <v>750</v>
      </c>
      <c r="C47" s="8">
        <v>0.3</v>
      </c>
      <c r="D47" s="6" t="s">
        <v>800</v>
      </c>
      <c r="E47" s="17" t="s">
        <v>1060</v>
      </c>
    </row>
    <row r="48" spans="1:5" ht="135.75" thickBot="1" x14ac:dyDescent="0.3">
      <c r="A48" s="4">
        <f>_xlfn.XLOOKUP(E48,Orden_preguntas!$B:$B,Orden_preguntas!$A:$A)</f>
        <v>47</v>
      </c>
      <c r="B48" s="6" t="s">
        <v>747</v>
      </c>
      <c r="C48" s="8">
        <v>0.2</v>
      </c>
      <c r="D48" s="6" t="s">
        <v>797</v>
      </c>
      <c r="E48" s="17" t="s">
        <v>1062</v>
      </c>
    </row>
    <row r="49" spans="1:5" ht="165.75" thickBot="1" x14ac:dyDescent="0.3">
      <c r="A49" s="4">
        <f>_xlfn.XLOOKUP(E49,Orden_preguntas!$B:$B,Orden_preguntas!$A:$A)</f>
        <v>48</v>
      </c>
      <c r="B49" s="6" t="s">
        <v>746</v>
      </c>
      <c r="C49" s="8">
        <v>0.2</v>
      </c>
      <c r="D49" s="6" t="s">
        <v>796</v>
      </c>
      <c r="E49" s="17" t="s">
        <v>1066</v>
      </c>
    </row>
    <row r="50" spans="1:5" ht="195.75" thickBot="1" x14ac:dyDescent="0.3">
      <c r="A50" s="4">
        <f>_xlfn.XLOOKUP(E50,Orden_preguntas!$B:$B,Orden_preguntas!$A:$A)</f>
        <v>49</v>
      </c>
      <c r="B50" s="6" t="s">
        <v>751</v>
      </c>
      <c r="C50" s="8">
        <v>0.2</v>
      </c>
      <c r="D50" s="6" t="s">
        <v>801</v>
      </c>
      <c r="E50" s="17" t="s">
        <v>1063</v>
      </c>
    </row>
    <row r="51" spans="1:5" ht="210.75" thickBot="1" x14ac:dyDescent="0.3">
      <c r="A51" s="4">
        <f>_xlfn.XLOOKUP(E51,Orden_preguntas!$B:$B,Orden_preguntas!$A:$A)</f>
        <v>50</v>
      </c>
      <c r="B51" s="6" t="s">
        <v>748</v>
      </c>
      <c r="C51" s="8">
        <v>0.2</v>
      </c>
      <c r="D51" s="6" t="s">
        <v>798</v>
      </c>
      <c r="E51" s="17" t="s">
        <v>1064</v>
      </c>
    </row>
    <row r="52" spans="1:5" ht="15.75" thickBot="1" x14ac:dyDescent="0.3">
      <c r="E52" s="17"/>
    </row>
    <row r="53" spans="1:5" ht="15.75" thickBot="1" x14ac:dyDescent="0.3">
      <c r="E53" s="17"/>
    </row>
    <row r="54" spans="1:5" ht="15.75" thickBot="1" x14ac:dyDescent="0.3">
      <c r="E54" s="17"/>
    </row>
    <row r="55" spans="1:5" ht="15.75" thickBot="1" x14ac:dyDescent="0.3">
      <c r="E55" s="17"/>
    </row>
    <row r="56" spans="1:5" ht="15.75" thickBot="1" x14ac:dyDescent="0.3">
      <c r="E56" s="17"/>
    </row>
    <row r="57" spans="1:5" ht="15.75" thickBot="1" x14ac:dyDescent="0.3">
      <c r="E57" s="17"/>
    </row>
    <row r="58" spans="1:5" ht="15.75" thickBot="1" x14ac:dyDescent="0.3">
      <c r="E58" s="17"/>
    </row>
    <row r="59" spans="1:5" ht="15.75" thickBot="1" x14ac:dyDescent="0.3">
      <c r="E59" s="17"/>
    </row>
    <row r="60" spans="1:5" ht="15.75" thickBot="1" x14ac:dyDescent="0.3">
      <c r="E60" s="17"/>
    </row>
    <row r="61" spans="1:5" ht="15.75" thickBot="1" x14ac:dyDescent="0.3">
      <c r="E61" s="17"/>
    </row>
    <row r="62" spans="1:5" ht="15.75" thickBot="1" x14ac:dyDescent="0.3">
      <c r="E62" s="17"/>
    </row>
    <row r="63" spans="1:5" ht="15.75" thickBot="1" x14ac:dyDescent="0.3">
      <c r="E63" s="17"/>
    </row>
    <row r="64" spans="1:5" ht="15.75" thickBot="1" x14ac:dyDescent="0.3">
      <c r="E64" s="17"/>
    </row>
    <row r="65" spans="5:5" ht="15.75" thickBot="1" x14ac:dyDescent="0.3">
      <c r="E65" s="17"/>
    </row>
    <row r="66" spans="5:5" ht="15.75" thickBot="1" x14ac:dyDescent="0.3">
      <c r="E66" s="17"/>
    </row>
    <row r="67" spans="5:5" ht="15.75" thickBot="1" x14ac:dyDescent="0.3">
      <c r="E67" s="17"/>
    </row>
    <row r="68" spans="5:5" ht="15.75" thickBot="1" x14ac:dyDescent="0.3">
      <c r="E68" s="17"/>
    </row>
    <row r="69" spans="5:5" ht="15.75" thickBot="1" x14ac:dyDescent="0.3">
      <c r="E69" s="17"/>
    </row>
    <row r="70" spans="5:5" ht="15.75" thickBot="1" x14ac:dyDescent="0.3">
      <c r="E70" s="17"/>
    </row>
    <row r="71" spans="5:5" ht="15.75" thickBot="1" x14ac:dyDescent="0.3">
      <c r="E71" s="17"/>
    </row>
    <row r="72" spans="5:5" ht="15.75" thickBot="1" x14ac:dyDescent="0.3">
      <c r="E72" s="17"/>
    </row>
    <row r="73" spans="5:5" ht="15.75" thickBot="1" x14ac:dyDescent="0.3">
      <c r="E73" s="17"/>
    </row>
    <row r="74" spans="5:5" ht="15.75" thickBot="1" x14ac:dyDescent="0.3">
      <c r="E74" s="17"/>
    </row>
    <row r="75" spans="5:5" ht="15.75" thickBot="1" x14ac:dyDescent="0.3">
      <c r="E75" s="17"/>
    </row>
    <row r="76" spans="5:5" ht="15.75" thickBot="1" x14ac:dyDescent="0.3">
      <c r="E76" s="17"/>
    </row>
    <row r="77" spans="5:5" ht="15.75" thickBot="1" x14ac:dyDescent="0.3">
      <c r="E77" s="17"/>
    </row>
    <row r="78" spans="5:5" ht="15.75" thickBot="1" x14ac:dyDescent="0.3">
      <c r="E78" s="17"/>
    </row>
    <row r="79" spans="5:5" ht="15.75" thickBot="1" x14ac:dyDescent="0.3">
      <c r="E79" s="17"/>
    </row>
    <row r="80" spans="5:5" ht="15.75" thickBot="1" x14ac:dyDescent="0.3">
      <c r="E80" s="17"/>
    </row>
    <row r="81" spans="5:5" ht="15.75" thickBot="1" x14ac:dyDescent="0.3">
      <c r="E81" s="17"/>
    </row>
    <row r="82" spans="5:5" ht="15.75" thickBot="1" x14ac:dyDescent="0.3">
      <c r="E82" s="17"/>
    </row>
    <row r="83" spans="5:5" ht="15.75" thickBot="1" x14ac:dyDescent="0.3">
      <c r="E83" s="17"/>
    </row>
    <row r="84" spans="5:5" ht="15.75" thickBot="1" x14ac:dyDescent="0.3">
      <c r="E84" s="17"/>
    </row>
    <row r="85" spans="5:5" ht="15.75" thickBot="1" x14ac:dyDescent="0.3">
      <c r="E85" s="17"/>
    </row>
    <row r="86" spans="5:5" ht="15.75" thickBot="1" x14ac:dyDescent="0.3">
      <c r="E86" s="17"/>
    </row>
    <row r="87" spans="5:5" ht="15.75" thickBot="1" x14ac:dyDescent="0.3">
      <c r="E87" s="17"/>
    </row>
    <row r="88" spans="5:5" ht="15.75" thickBot="1" x14ac:dyDescent="0.3">
      <c r="E88" s="17"/>
    </row>
    <row r="89" spans="5:5" ht="15.75" thickBot="1" x14ac:dyDescent="0.3">
      <c r="E89" s="17"/>
    </row>
    <row r="90" spans="5:5" ht="15.75" thickBot="1" x14ac:dyDescent="0.3">
      <c r="E90" s="17"/>
    </row>
    <row r="91" spans="5:5" ht="15.75" thickBot="1" x14ac:dyDescent="0.3">
      <c r="E91" s="17"/>
    </row>
    <row r="92" spans="5:5" ht="15.75" thickBot="1" x14ac:dyDescent="0.3">
      <c r="E92" s="17"/>
    </row>
    <row r="93" spans="5:5" ht="15.75" thickBot="1" x14ac:dyDescent="0.3">
      <c r="E93" s="17"/>
    </row>
    <row r="94" spans="5:5" ht="15.75" thickBot="1" x14ac:dyDescent="0.3">
      <c r="E94" s="17"/>
    </row>
    <row r="95" spans="5:5" ht="15.75" thickBot="1" x14ac:dyDescent="0.3">
      <c r="E95" s="17"/>
    </row>
    <row r="96" spans="5:5" ht="15.75" thickBot="1" x14ac:dyDescent="0.3">
      <c r="E96" s="17"/>
    </row>
    <row r="97" spans="5:5" ht="15.75" thickBot="1" x14ac:dyDescent="0.3">
      <c r="E97" s="17"/>
    </row>
    <row r="98" spans="5:5" ht="15.75" thickBot="1" x14ac:dyDescent="0.3">
      <c r="E98" s="17"/>
    </row>
    <row r="99" spans="5:5" ht="15.75" thickBot="1" x14ac:dyDescent="0.3">
      <c r="E99" s="17"/>
    </row>
    <row r="100" spans="5:5" ht="15.75" thickBot="1" x14ac:dyDescent="0.3">
      <c r="E100" s="17"/>
    </row>
    <row r="101" spans="5:5" ht="15.75" thickBot="1" x14ac:dyDescent="0.3">
      <c r="E101" s="17"/>
    </row>
    <row r="102" spans="5:5" ht="15.75" thickBot="1" x14ac:dyDescent="0.3">
      <c r="E102" s="17"/>
    </row>
    <row r="103" spans="5:5" ht="15.75" thickBot="1" x14ac:dyDescent="0.3">
      <c r="E103" s="17"/>
    </row>
    <row r="104" spans="5:5" ht="15.75" thickBot="1" x14ac:dyDescent="0.3">
      <c r="E104" s="17"/>
    </row>
    <row r="105" spans="5:5" ht="15.75" thickBot="1" x14ac:dyDescent="0.3">
      <c r="E105" s="17"/>
    </row>
    <row r="106" spans="5:5" ht="15.75" thickBot="1" x14ac:dyDescent="0.3">
      <c r="E106" s="17"/>
    </row>
    <row r="107" spans="5:5" ht="15.75" thickBot="1" x14ac:dyDescent="0.3">
      <c r="E107" s="17"/>
    </row>
    <row r="108" spans="5:5" ht="15.75" thickBot="1" x14ac:dyDescent="0.3">
      <c r="E108" s="17"/>
    </row>
    <row r="109" spans="5:5" ht="15.75" thickBot="1" x14ac:dyDescent="0.3">
      <c r="E109" s="17"/>
    </row>
    <row r="110" spans="5:5" ht="15.75" thickBot="1" x14ac:dyDescent="0.3">
      <c r="E110" s="17"/>
    </row>
    <row r="111" spans="5:5" ht="15.75" thickBot="1" x14ac:dyDescent="0.3">
      <c r="E111" s="17"/>
    </row>
    <row r="112" spans="5:5" ht="15.75" thickBot="1" x14ac:dyDescent="0.3">
      <c r="E112" s="17"/>
    </row>
    <row r="113" spans="5:5" ht="15.75" thickBot="1" x14ac:dyDescent="0.3">
      <c r="E113" s="17"/>
    </row>
    <row r="114" spans="5:5" ht="15.75" thickBot="1" x14ac:dyDescent="0.3">
      <c r="E114" s="17"/>
    </row>
    <row r="115" spans="5:5" ht="15.75" thickBot="1" x14ac:dyDescent="0.3">
      <c r="E115" s="17"/>
    </row>
    <row r="116" spans="5:5" ht="15.75" thickBot="1" x14ac:dyDescent="0.3">
      <c r="E116" s="17"/>
    </row>
    <row r="117" spans="5:5" ht="15.75" thickBot="1" x14ac:dyDescent="0.3">
      <c r="E117" s="17"/>
    </row>
    <row r="118" spans="5:5" ht="15.75" thickBot="1" x14ac:dyDescent="0.3">
      <c r="E118" s="17"/>
    </row>
    <row r="119" spans="5:5" ht="15.75" thickBot="1" x14ac:dyDescent="0.3">
      <c r="E119" s="17"/>
    </row>
    <row r="120" spans="5:5" ht="15.75" thickBot="1" x14ac:dyDescent="0.3">
      <c r="E120" s="17"/>
    </row>
    <row r="121" spans="5:5" ht="15.75" thickBot="1" x14ac:dyDescent="0.3">
      <c r="E121" s="17"/>
    </row>
    <row r="122" spans="5:5" ht="15.75" thickBot="1" x14ac:dyDescent="0.3">
      <c r="E122" s="17"/>
    </row>
    <row r="123" spans="5:5" ht="15.75" thickBot="1" x14ac:dyDescent="0.3">
      <c r="E123" s="17"/>
    </row>
    <row r="124" spans="5:5" ht="15.75" thickBot="1" x14ac:dyDescent="0.3">
      <c r="E124" s="17"/>
    </row>
    <row r="125" spans="5:5" ht="15.75" thickBot="1" x14ac:dyDescent="0.3">
      <c r="E125" s="17"/>
    </row>
    <row r="126" spans="5:5" ht="15.75" thickBot="1" x14ac:dyDescent="0.3">
      <c r="E126" s="17"/>
    </row>
    <row r="127" spans="5:5" ht="15.75" thickBot="1" x14ac:dyDescent="0.3">
      <c r="E127" s="17"/>
    </row>
    <row r="128" spans="5:5" ht="15.75" thickBot="1" x14ac:dyDescent="0.3">
      <c r="E128" s="17"/>
    </row>
    <row r="129" spans="5:5" ht="15.75" thickBot="1" x14ac:dyDescent="0.3">
      <c r="E129" s="17"/>
    </row>
    <row r="130" spans="5:5" ht="15.75" thickBot="1" x14ac:dyDescent="0.3">
      <c r="E130" s="17"/>
    </row>
    <row r="131" spans="5:5" ht="15.75" thickBot="1" x14ac:dyDescent="0.3">
      <c r="E131" s="17"/>
    </row>
    <row r="132" spans="5:5" ht="15.75" thickBot="1" x14ac:dyDescent="0.3">
      <c r="E132" s="17"/>
    </row>
    <row r="133" spans="5:5" ht="15.75" thickBot="1" x14ac:dyDescent="0.3">
      <c r="E133" s="17"/>
    </row>
    <row r="134" spans="5:5" ht="15.75" thickBot="1" x14ac:dyDescent="0.3">
      <c r="E134" s="17"/>
    </row>
    <row r="135" spans="5:5" ht="15.75" thickBot="1" x14ac:dyDescent="0.3">
      <c r="E135" s="17"/>
    </row>
    <row r="136" spans="5:5" ht="15.75" thickBot="1" x14ac:dyDescent="0.3">
      <c r="E136" s="17"/>
    </row>
    <row r="137" spans="5:5" ht="15.75" thickBot="1" x14ac:dyDescent="0.3">
      <c r="E137" s="17"/>
    </row>
    <row r="138" spans="5:5" ht="15.75" thickBot="1" x14ac:dyDescent="0.3">
      <c r="E138" s="17"/>
    </row>
    <row r="139" spans="5:5" ht="15.75" thickBot="1" x14ac:dyDescent="0.3">
      <c r="E139" s="17"/>
    </row>
    <row r="140" spans="5:5" ht="15.75" thickBot="1" x14ac:dyDescent="0.3">
      <c r="E140" s="17"/>
    </row>
    <row r="141" spans="5:5" ht="15.75" thickBot="1" x14ac:dyDescent="0.3">
      <c r="E141" s="17"/>
    </row>
    <row r="142" spans="5:5" ht="15.75" thickBot="1" x14ac:dyDescent="0.3">
      <c r="E142" s="17"/>
    </row>
    <row r="143" spans="5:5" ht="15.75" thickBot="1" x14ac:dyDescent="0.3">
      <c r="E143" s="17"/>
    </row>
    <row r="144" spans="5:5" ht="15.75" thickBot="1" x14ac:dyDescent="0.3">
      <c r="E144" s="17"/>
    </row>
    <row r="145" spans="5:5" ht="15.75" thickBot="1" x14ac:dyDescent="0.3">
      <c r="E145" s="17"/>
    </row>
    <row r="146" spans="5:5" ht="15.75" thickBot="1" x14ac:dyDescent="0.3">
      <c r="E146" s="17"/>
    </row>
    <row r="147" spans="5:5" ht="15.75" thickBot="1" x14ac:dyDescent="0.3">
      <c r="E147" s="17"/>
    </row>
    <row r="148" spans="5:5" ht="15.75" thickBot="1" x14ac:dyDescent="0.3">
      <c r="E148" s="17"/>
    </row>
    <row r="149" spans="5:5" ht="15.75" thickBot="1" x14ac:dyDescent="0.3">
      <c r="E149" s="17"/>
    </row>
    <row r="150" spans="5:5" ht="15.75" thickBot="1" x14ac:dyDescent="0.3">
      <c r="E150" s="17"/>
    </row>
    <row r="151" spans="5:5" ht="15.75" thickBot="1" x14ac:dyDescent="0.3">
      <c r="E151" s="17"/>
    </row>
    <row r="152" spans="5:5" ht="15.75" thickBot="1" x14ac:dyDescent="0.3">
      <c r="E152" s="17"/>
    </row>
    <row r="153" spans="5:5" ht="15.75" thickBot="1" x14ac:dyDescent="0.3">
      <c r="E153" s="17"/>
    </row>
    <row r="154" spans="5:5" ht="15.75" thickBot="1" x14ac:dyDescent="0.3">
      <c r="E154" s="17"/>
    </row>
    <row r="155" spans="5:5" ht="15.75" thickBot="1" x14ac:dyDescent="0.3">
      <c r="E155" s="17"/>
    </row>
    <row r="156" spans="5:5" ht="15.75" thickBot="1" x14ac:dyDescent="0.3">
      <c r="E156" s="17"/>
    </row>
    <row r="157" spans="5:5" ht="15.75" thickBot="1" x14ac:dyDescent="0.3">
      <c r="E157" s="17"/>
    </row>
    <row r="158" spans="5:5" ht="15.75" thickBot="1" x14ac:dyDescent="0.3">
      <c r="E158" s="17"/>
    </row>
    <row r="159" spans="5:5" ht="15.75" thickBot="1" x14ac:dyDescent="0.3">
      <c r="E159" s="17"/>
    </row>
    <row r="160" spans="5:5" ht="15.75" thickBot="1" x14ac:dyDescent="0.3">
      <c r="E160" s="17"/>
    </row>
    <row r="161" spans="5:5" ht="15.75" thickBot="1" x14ac:dyDescent="0.3">
      <c r="E161" s="17"/>
    </row>
    <row r="162" spans="5:5" ht="15.75" thickBot="1" x14ac:dyDescent="0.3">
      <c r="E162" s="17"/>
    </row>
    <row r="163" spans="5:5" ht="15.75" thickBot="1" x14ac:dyDescent="0.3">
      <c r="E163" s="17"/>
    </row>
    <row r="164" spans="5:5" ht="15.75" thickBot="1" x14ac:dyDescent="0.3">
      <c r="E164" s="17"/>
    </row>
    <row r="165" spans="5:5" ht="15.75" thickBot="1" x14ac:dyDescent="0.3">
      <c r="E165" s="17"/>
    </row>
    <row r="166" spans="5:5" ht="15.75" thickBot="1" x14ac:dyDescent="0.3">
      <c r="E166" s="17"/>
    </row>
    <row r="167" spans="5:5" ht="15.75" thickBot="1" x14ac:dyDescent="0.3">
      <c r="E167" s="17"/>
    </row>
    <row r="168" spans="5:5" ht="15.75" thickBot="1" x14ac:dyDescent="0.3">
      <c r="E168" s="17"/>
    </row>
    <row r="169" spans="5:5" ht="15.75" thickBot="1" x14ac:dyDescent="0.3">
      <c r="E169" s="17"/>
    </row>
    <row r="170" spans="5:5" ht="15.75" thickBot="1" x14ac:dyDescent="0.3">
      <c r="E170" s="17"/>
    </row>
    <row r="171" spans="5:5" ht="15.75" thickBot="1" x14ac:dyDescent="0.3">
      <c r="E171" s="17"/>
    </row>
    <row r="172" spans="5:5" ht="15.75" thickBot="1" x14ac:dyDescent="0.3">
      <c r="E172" s="17"/>
    </row>
    <row r="173" spans="5:5" ht="15.75" thickBot="1" x14ac:dyDescent="0.3">
      <c r="E173" s="17"/>
    </row>
    <row r="174" spans="5:5" ht="15.75" thickBot="1" x14ac:dyDescent="0.3">
      <c r="E174" s="17"/>
    </row>
    <row r="175" spans="5:5" ht="15.75" thickBot="1" x14ac:dyDescent="0.3">
      <c r="E175" s="17"/>
    </row>
    <row r="176" spans="5:5" ht="15.75" thickBot="1" x14ac:dyDescent="0.3">
      <c r="E176" s="17"/>
    </row>
    <row r="177" spans="5:5" ht="15.75" thickBot="1" x14ac:dyDescent="0.3">
      <c r="E177" s="17"/>
    </row>
    <row r="178" spans="5:5" ht="15.75" thickBot="1" x14ac:dyDescent="0.3">
      <c r="E178" s="17"/>
    </row>
    <row r="179" spans="5:5" ht="15.75" thickBot="1" x14ac:dyDescent="0.3">
      <c r="E179" s="17"/>
    </row>
    <row r="180" spans="5:5" ht="15.75" thickBot="1" x14ac:dyDescent="0.3">
      <c r="E180" s="17"/>
    </row>
    <row r="181" spans="5:5" ht="15.75" thickBot="1" x14ac:dyDescent="0.3">
      <c r="E181" s="17"/>
    </row>
    <row r="182" spans="5:5" ht="15.75" thickBot="1" x14ac:dyDescent="0.3">
      <c r="E182" s="17"/>
    </row>
    <row r="183" spans="5:5" ht="15.75" thickBot="1" x14ac:dyDescent="0.3">
      <c r="E183" s="17"/>
    </row>
    <row r="184" spans="5:5" ht="15.75" thickBot="1" x14ac:dyDescent="0.3">
      <c r="E184" s="17"/>
    </row>
    <row r="185" spans="5:5" ht="15.75" thickBot="1" x14ac:dyDescent="0.3">
      <c r="E185" s="17"/>
    </row>
    <row r="186" spans="5:5" ht="15.75" thickBot="1" x14ac:dyDescent="0.3">
      <c r="E186" s="17"/>
    </row>
    <row r="187" spans="5:5" ht="15.75" thickBot="1" x14ac:dyDescent="0.3">
      <c r="E187" s="17"/>
    </row>
    <row r="188" spans="5:5" ht="15.75" thickBot="1" x14ac:dyDescent="0.3">
      <c r="E188" s="17"/>
    </row>
    <row r="189" spans="5:5" ht="15.75" thickBot="1" x14ac:dyDescent="0.3">
      <c r="E189" s="17"/>
    </row>
    <row r="190" spans="5:5" ht="15.75" thickBot="1" x14ac:dyDescent="0.3">
      <c r="E190" s="17"/>
    </row>
    <row r="191" spans="5:5" ht="15.75" thickBot="1" x14ac:dyDescent="0.3">
      <c r="E191" s="17"/>
    </row>
    <row r="192" spans="5:5" ht="15.75" thickBot="1" x14ac:dyDescent="0.3">
      <c r="E192" s="17"/>
    </row>
    <row r="193" spans="5:5" ht="15.75" thickBot="1" x14ac:dyDescent="0.3">
      <c r="E193" s="17"/>
    </row>
    <row r="194" spans="5:5" ht="15.75" thickBot="1" x14ac:dyDescent="0.3">
      <c r="E194" s="17"/>
    </row>
    <row r="195" spans="5:5" ht="15.75" thickBot="1" x14ac:dyDescent="0.3">
      <c r="E195" s="17"/>
    </row>
    <row r="196" spans="5:5" ht="15.75" thickBot="1" x14ac:dyDescent="0.3">
      <c r="E196" s="17"/>
    </row>
    <row r="197" spans="5:5" ht="15.75" thickBot="1" x14ac:dyDescent="0.3">
      <c r="E197" s="17"/>
    </row>
    <row r="198" spans="5:5" ht="15.75" thickBot="1" x14ac:dyDescent="0.3">
      <c r="E198" s="17"/>
    </row>
    <row r="199" spans="5:5" ht="15.75" thickBot="1" x14ac:dyDescent="0.3">
      <c r="E199" s="17"/>
    </row>
    <row r="200" spans="5:5" ht="15.75" thickBot="1" x14ac:dyDescent="0.3">
      <c r="E200" s="17"/>
    </row>
    <row r="201" spans="5:5" ht="15.75" thickBot="1" x14ac:dyDescent="0.3">
      <c r="E201" s="17"/>
    </row>
    <row r="202" spans="5:5" ht="15.75" thickBot="1" x14ac:dyDescent="0.3">
      <c r="E202" s="17"/>
    </row>
    <row r="203" spans="5:5" ht="15.75" thickBot="1" x14ac:dyDescent="0.3">
      <c r="E203" s="17"/>
    </row>
    <row r="204" spans="5:5" ht="15.75" thickBot="1" x14ac:dyDescent="0.3">
      <c r="E204" s="17"/>
    </row>
    <row r="205" spans="5:5" ht="15.75" thickBot="1" x14ac:dyDescent="0.3">
      <c r="E205" s="17"/>
    </row>
    <row r="206" spans="5:5" ht="15.75" thickBot="1" x14ac:dyDescent="0.3">
      <c r="E206" s="17"/>
    </row>
    <row r="207" spans="5:5" ht="15.75" thickBot="1" x14ac:dyDescent="0.3">
      <c r="E207" s="17"/>
    </row>
    <row r="208" spans="5:5" ht="15.75" thickBot="1" x14ac:dyDescent="0.3">
      <c r="E208" s="17"/>
    </row>
    <row r="209" spans="5:5" ht="15.75" thickBot="1" x14ac:dyDescent="0.3">
      <c r="E209" s="17"/>
    </row>
    <row r="210" spans="5:5" ht="15.75" thickBot="1" x14ac:dyDescent="0.3">
      <c r="E210" s="17"/>
    </row>
    <row r="211" spans="5:5" ht="15.75" thickBot="1" x14ac:dyDescent="0.3">
      <c r="E211" s="17"/>
    </row>
    <row r="212" spans="5:5" ht="15.75" thickBot="1" x14ac:dyDescent="0.3">
      <c r="E212" s="17"/>
    </row>
    <row r="213" spans="5:5" ht="15.75" thickBot="1" x14ac:dyDescent="0.3">
      <c r="E213" s="17"/>
    </row>
    <row r="214" spans="5:5" ht="15.75" thickBot="1" x14ac:dyDescent="0.3">
      <c r="E214" s="17"/>
    </row>
    <row r="215" spans="5:5" ht="15.75" thickBot="1" x14ac:dyDescent="0.3">
      <c r="E215" s="17"/>
    </row>
    <row r="216" spans="5:5" ht="15.75" thickBot="1" x14ac:dyDescent="0.3">
      <c r="E216" s="17"/>
    </row>
    <row r="217" spans="5:5" ht="15.75" thickBot="1" x14ac:dyDescent="0.3">
      <c r="E217" s="17"/>
    </row>
    <row r="218" spans="5:5" ht="15.75" thickBot="1" x14ac:dyDescent="0.3">
      <c r="E218" s="17"/>
    </row>
    <row r="219" spans="5:5" ht="15.75" thickBot="1" x14ac:dyDescent="0.3">
      <c r="E219" s="17"/>
    </row>
    <row r="220" spans="5:5" ht="15.75" thickBot="1" x14ac:dyDescent="0.3">
      <c r="E220" s="17"/>
    </row>
    <row r="221" spans="5:5" ht="15.75" thickBot="1" x14ac:dyDescent="0.3">
      <c r="E221" s="17"/>
    </row>
    <row r="222" spans="5:5" ht="15.75" thickBot="1" x14ac:dyDescent="0.3">
      <c r="E222" s="17"/>
    </row>
    <row r="223" spans="5:5" ht="15.75" thickBot="1" x14ac:dyDescent="0.3">
      <c r="E223" s="17"/>
    </row>
    <row r="224" spans="5:5" ht="15.75" thickBot="1" x14ac:dyDescent="0.3">
      <c r="E224" s="17"/>
    </row>
    <row r="225" spans="5:5" ht="15.75" thickBot="1" x14ac:dyDescent="0.3">
      <c r="E225" s="17"/>
    </row>
    <row r="226" spans="5:5" ht="15.75" thickBot="1" x14ac:dyDescent="0.3">
      <c r="E226" s="17"/>
    </row>
    <row r="227" spans="5:5" ht="15.75" thickBot="1" x14ac:dyDescent="0.3">
      <c r="E227" s="17"/>
    </row>
    <row r="228" spans="5:5" ht="15.75" thickBot="1" x14ac:dyDescent="0.3">
      <c r="E228" s="17"/>
    </row>
    <row r="229" spans="5:5" ht="15.75" thickBot="1" x14ac:dyDescent="0.3">
      <c r="E229" s="17"/>
    </row>
    <row r="230" spans="5:5" ht="15.75" thickBot="1" x14ac:dyDescent="0.3">
      <c r="E230" s="17"/>
    </row>
    <row r="231" spans="5:5" ht="15.75" thickBot="1" x14ac:dyDescent="0.3">
      <c r="E231" s="17"/>
    </row>
    <row r="232" spans="5:5" ht="15.75" thickBot="1" x14ac:dyDescent="0.3">
      <c r="E232" s="17"/>
    </row>
    <row r="233" spans="5:5" ht="15.75" thickBot="1" x14ac:dyDescent="0.3">
      <c r="E233" s="17"/>
    </row>
    <row r="234" spans="5:5" ht="15.75" thickBot="1" x14ac:dyDescent="0.3">
      <c r="E234" s="17"/>
    </row>
    <row r="235" spans="5:5" ht="15.75" thickBot="1" x14ac:dyDescent="0.3">
      <c r="E235" s="17"/>
    </row>
    <row r="236" spans="5:5" ht="15.75" thickBot="1" x14ac:dyDescent="0.3">
      <c r="E236" s="17"/>
    </row>
    <row r="237" spans="5:5" ht="15.75" thickBot="1" x14ac:dyDescent="0.3">
      <c r="E237" s="17"/>
    </row>
    <row r="238" spans="5:5" ht="15.75" thickBot="1" x14ac:dyDescent="0.3">
      <c r="E238" s="17"/>
    </row>
    <row r="239" spans="5:5" ht="15.75" thickBot="1" x14ac:dyDescent="0.3">
      <c r="E239" s="17"/>
    </row>
    <row r="240" spans="5:5" ht="15.75" thickBot="1" x14ac:dyDescent="0.3">
      <c r="E240" s="17"/>
    </row>
    <row r="241" spans="5:5" ht="15.75" thickBot="1" x14ac:dyDescent="0.3">
      <c r="E241" s="17"/>
    </row>
    <row r="242" spans="5:5" ht="15.75" thickBot="1" x14ac:dyDescent="0.3">
      <c r="E242" s="17"/>
    </row>
    <row r="243" spans="5:5" ht="15.75" thickBot="1" x14ac:dyDescent="0.3">
      <c r="E243" s="17"/>
    </row>
    <row r="244" spans="5:5" ht="15.75" thickBot="1" x14ac:dyDescent="0.3">
      <c r="E244" s="17"/>
    </row>
    <row r="245" spans="5:5" ht="15.75" thickBot="1" x14ac:dyDescent="0.3">
      <c r="E245" s="17"/>
    </row>
    <row r="246" spans="5:5" ht="15.75" thickBot="1" x14ac:dyDescent="0.3">
      <c r="E246" s="17"/>
    </row>
    <row r="247" spans="5:5" ht="15.75" thickBot="1" x14ac:dyDescent="0.3">
      <c r="E247" s="17"/>
    </row>
    <row r="248" spans="5:5" ht="15.75" thickBot="1" x14ac:dyDescent="0.3">
      <c r="E248" s="17"/>
    </row>
    <row r="249" spans="5:5" ht="15.75" thickBot="1" x14ac:dyDescent="0.3">
      <c r="E249" s="17"/>
    </row>
    <row r="250" spans="5:5" ht="15.75" thickBot="1" x14ac:dyDescent="0.3">
      <c r="E250" s="17"/>
    </row>
    <row r="251" spans="5:5" ht="15.75" thickBot="1" x14ac:dyDescent="0.3">
      <c r="E251" s="17"/>
    </row>
    <row r="252" spans="5:5" ht="15.75" thickBot="1" x14ac:dyDescent="0.3">
      <c r="E252" s="17"/>
    </row>
    <row r="253" spans="5:5" ht="15.75" thickBot="1" x14ac:dyDescent="0.3">
      <c r="E253" s="17"/>
    </row>
    <row r="254" spans="5:5" ht="15.75" thickBot="1" x14ac:dyDescent="0.3">
      <c r="E254" s="17"/>
    </row>
    <row r="255" spans="5:5" ht="15.75" thickBot="1" x14ac:dyDescent="0.3">
      <c r="E255" s="17"/>
    </row>
    <row r="256" spans="5:5" ht="15.75" thickBot="1" x14ac:dyDescent="0.3">
      <c r="E256" s="17"/>
    </row>
    <row r="257" spans="5:5" ht="15.75" thickBot="1" x14ac:dyDescent="0.3">
      <c r="E257" s="17"/>
    </row>
    <row r="258" spans="5:5" ht="15.75" thickBot="1" x14ac:dyDescent="0.3">
      <c r="E258" s="17"/>
    </row>
    <row r="259" spans="5:5" ht="15.75" thickBot="1" x14ac:dyDescent="0.3">
      <c r="E259" s="17"/>
    </row>
    <row r="260" spans="5:5" ht="15.75" thickBot="1" x14ac:dyDescent="0.3">
      <c r="E260" s="17"/>
    </row>
    <row r="261" spans="5:5" ht="15.75" thickBot="1" x14ac:dyDescent="0.3">
      <c r="E261" s="17"/>
    </row>
    <row r="262" spans="5:5" ht="15.75" thickBot="1" x14ac:dyDescent="0.3">
      <c r="E262" s="17"/>
    </row>
    <row r="263" spans="5:5" ht="15.75" thickBot="1" x14ac:dyDescent="0.3">
      <c r="E263" s="17"/>
    </row>
    <row r="264" spans="5:5" ht="15.75" thickBot="1" x14ac:dyDescent="0.3">
      <c r="E264" s="17"/>
    </row>
    <row r="265" spans="5:5" ht="15.75" thickBot="1" x14ac:dyDescent="0.3">
      <c r="E265" s="17"/>
    </row>
    <row r="266" spans="5:5" ht="15.75" thickBot="1" x14ac:dyDescent="0.3">
      <c r="E266" s="17"/>
    </row>
    <row r="267" spans="5:5" ht="15.75" thickBot="1" x14ac:dyDescent="0.3">
      <c r="E267" s="17"/>
    </row>
    <row r="268" spans="5:5" ht="15.75" thickBot="1" x14ac:dyDescent="0.3">
      <c r="E268" s="17"/>
    </row>
    <row r="269" spans="5:5" ht="15.75" thickBot="1" x14ac:dyDescent="0.3">
      <c r="E269" s="17"/>
    </row>
    <row r="270" spans="5:5" ht="15.75" thickBot="1" x14ac:dyDescent="0.3">
      <c r="E270" s="17"/>
    </row>
    <row r="271" spans="5:5" ht="15.75" thickBot="1" x14ac:dyDescent="0.3">
      <c r="E271" s="17"/>
    </row>
    <row r="272" spans="5:5" ht="15.75" thickBot="1" x14ac:dyDescent="0.3">
      <c r="E272" s="17"/>
    </row>
    <row r="273" spans="5:5" ht="15.75" thickBot="1" x14ac:dyDescent="0.3">
      <c r="E273" s="17"/>
    </row>
    <row r="274" spans="5:5" ht="15.75" thickBot="1" x14ac:dyDescent="0.3">
      <c r="E274" s="17"/>
    </row>
    <row r="275" spans="5:5" ht="15.75" thickBot="1" x14ac:dyDescent="0.3">
      <c r="E275" s="17"/>
    </row>
    <row r="276" spans="5:5" ht="15.75" thickBot="1" x14ac:dyDescent="0.3">
      <c r="E276" s="17"/>
    </row>
    <row r="277" spans="5:5" ht="15.75" thickBot="1" x14ac:dyDescent="0.3">
      <c r="E277" s="17"/>
    </row>
    <row r="278" spans="5:5" ht="15.75" thickBot="1" x14ac:dyDescent="0.3">
      <c r="E278" s="17"/>
    </row>
    <row r="279" spans="5:5" ht="15.75" thickBot="1" x14ac:dyDescent="0.3">
      <c r="E279" s="17"/>
    </row>
    <row r="280" spans="5:5" ht="15.75" thickBot="1" x14ac:dyDescent="0.3">
      <c r="E280" s="17"/>
    </row>
    <row r="281" spans="5:5" ht="15.75" thickBot="1" x14ac:dyDescent="0.3">
      <c r="E281" s="17"/>
    </row>
    <row r="282" spans="5:5" ht="15.75" thickBot="1" x14ac:dyDescent="0.3">
      <c r="E282" s="17"/>
    </row>
    <row r="283" spans="5:5" ht="15.75" thickBot="1" x14ac:dyDescent="0.3">
      <c r="E283" s="17"/>
    </row>
    <row r="284" spans="5:5" ht="15.75" thickBot="1" x14ac:dyDescent="0.3">
      <c r="E284" s="17"/>
    </row>
    <row r="285" spans="5:5" ht="15.75" thickBot="1" x14ac:dyDescent="0.3">
      <c r="E285" s="17"/>
    </row>
    <row r="286" spans="5:5" ht="15.75" thickBot="1" x14ac:dyDescent="0.3">
      <c r="E286" s="17"/>
    </row>
    <row r="287" spans="5:5" ht="15.75" thickBot="1" x14ac:dyDescent="0.3">
      <c r="E287" s="17"/>
    </row>
    <row r="288" spans="5:5" ht="15.75" thickBot="1" x14ac:dyDescent="0.3">
      <c r="E288" s="17"/>
    </row>
    <row r="289" spans="5:5" ht="15.75" thickBot="1" x14ac:dyDescent="0.3">
      <c r="E289" s="17"/>
    </row>
    <row r="290" spans="5:5" ht="15.75" thickBot="1" x14ac:dyDescent="0.3">
      <c r="E290" s="17"/>
    </row>
    <row r="291" spans="5:5" ht="15.75" thickBot="1" x14ac:dyDescent="0.3">
      <c r="E291" s="17"/>
    </row>
    <row r="292" spans="5:5" ht="15.75" thickBot="1" x14ac:dyDescent="0.3">
      <c r="E292" s="17"/>
    </row>
    <row r="293" spans="5:5" ht="15.75" thickBot="1" x14ac:dyDescent="0.3">
      <c r="E293" s="17"/>
    </row>
    <row r="294" spans="5:5" ht="15.75" thickBot="1" x14ac:dyDescent="0.3">
      <c r="E294" s="17"/>
    </row>
    <row r="295" spans="5:5" ht="15.75" thickBot="1" x14ac:dyDescent="0.3">
      <c r="E295" s="17"/>
    </row>
    <row r="296" spans="5:5" ht="15.75" thickBot="1" x14ac:dyDescent="0.3">
      <c r="E296" s="17"/>
    </row>
    <row r="297" spans="5:5" ht="15.75" thickBot="1" x14ac:dyDescent="0.3">
      <c r="E297" s="17"/>
    </row>
    <row r="298" spans="5:5" ht="15.75" thickBot="1" x14ac:dyDescent="0.3">
      <c r="E298" s="17"/>
    </row>
    <row r="299" spans="5:5" ht="15.75" thickBot="1" x14ac:dyDescent="0.3">
      <c r="E299" s="17"/>
    </row>
    <row r="300" spans="5:5" ht="15.75" thickBot="1" x14ac:dyDescent="0.3">
      <c r="E300" s="17"/>
    </row>
    <row r="301" spans="5:5" ht="15.75" thickBot="1" x14ac:dyDescent="0.3">
      <c r="E301" s="17"/>
    </row>
    <row r="302" spans="5:5" ht="15.75" thickBot="1" x14ac:dyDescent="0.3">
      <c r="E302" s="17"/>
    </row>
    <row r="303" spans="5:5" ht="15.75" thickBot="1" x14ac:dyDescent="0.3">
      <c r="E303" s="17"/>
    </row>
    <row r="304" spans="5:5" ht="15.75" thickBot="1" x14ac:dyDescent="0.3">
      <c r="E304" s="17"/>
    </row>
    <row r="305" spans="5:5" ht="15.75" thickBot="1" x14ac:dyDescent="0.3">
      <c r="E305" s="17"/>
    </row>
    <row r="306" spans="5:5" ht="15.75" thickBot="1" x14ac:dyDescent="0.3">
      <c r="E306" s="17"/>
    </row>
    <row r="307" spans="5:5" ht="15.75" thickBot="1" x14ac:dyDescent="0.3">
      <c r="E307" s="17"/>
    </row>
    <row r="308" spans="5:5" ht="15.75" thickBot="1" x14ac:dyDescent="0.3">
      <c r="E308" s="17"/>
    </row>
    <row r="309" spans="5:5" ht="15.75" thickBot="1" x14ac:dyDescent="0.3">
      <c r="E309" s="17"/>
    </row>
    <row r="310" spans="5:5" ht="15.75" thickBot="1" x14ac:dyDescent="0.3">
      <c r="E310" s="17"/>
    </row>
    <row r="311" spans="5:5" ht="15.75" thickBot="1" x14ac:dyDescent="0.3">
      <c r="E311" s="17"/>
    </row>
    <row r="312" spans="5:5" ht="15.75" thickBot="1" x14ac:dyDescent="0.3">
      <c r="E312" s="17"/>
    </row>
    <row r="313" spans="5:5" ht="15.75" thickBot="1" x14ac:dyDescent="0.3">
      <c r="E313" s="17"/>
    </row>
    <row r="314" spans="5:5" ht="15.75" thickBot="1" x14ac:dyDescent="0.3">
      <c r="E314" s="17"/>
    </row>
    <row r="315" spans="5:5" ht="15.75" thickBot="1" x14ac:dyDescent="0.3">
      <c r="E315" s="17"/>
    </row>
    <row r="316" spans="5:5" ht="15.75" thickBot="1" x14ac:dyDescent="0.3">
      <c r="E316" s="17"/>
    </row>
    <row r="317" spans="5:5" ht="15.75" thickBot="1" x14ac:dyDescent="0.3">
      <c r="E317" s="17"/>
    </row>
    <row r="318" spans="5:5" ht="15.75" thickBot="1" x14ac:dyDescent="0.3">
      <c r="E318" s="17"/>
    </row>
    <row r="319" spans="5:5" ht="15.75" thickBot="1" x14ac:dyDescent="0.3">
      <c r="E319" s="17"/>
    </row>
    <row r="320" spans="5:5" ht="15.75" thickBot="1" x14ac:dyDescent="0.3">
      <c r="E320" s="17"/>
    </row>
    <row r="321" spans="5:5" ht="15.75" thickBot="1" x14ac:dyDescent="0.3">
      <c r="E321" s="17"/>
    </row>
    <row r="322" spans="5:5" ht="15.75" thickBot="1" x14ac:dyDescent="0.3">
      <c r="E322" s="17"/>
    </row>
    <row r="323" spans="5:5" ht="15.75" thickBot="1" x14ac:dyDescent="0.3">
      <c r="E323" s="17"/>
    </row>
    <row r="324" spans="5:5" ht="15.75" thickBot="1" x14ac:dyDescent="0.3">
      <c r="E324" s="17"/>
    </row>
    <row r="325" spans="5:5" ht="15.75" thickBot="1" x14ac:dyDescent="0.3">
      <c r="E325" s="17"/>
    </row>
    <row r="326" spans="5:5" ht="15.75" thickBot="1" x14ac:dyDescent="0.3">
      <c r="E326" s="17"/>
    </row>
    <row r="327" spans="5:5" ht="15.75" thickBot="1" x14ac:dyDescent="0.3">
      <c r="E327" s="17"/>
    </row>
    <row r="328" spans="5:5" ht="15.75" thickBot="1" x14ac:dyDescent="0.3">
      <c r="E328" s="17"/>
    </row>
    <row r="329" spans="5:5" ht="15.75" thickBot="1" x14ac:dyDescent="0.3">
      <c r="E329" s="17"/>
    </row>
    <row r="330" spans="5:5" ht="15.75" thickBot="1" x14ac:dyDescent="0.3">
      <c r="E330" s="17"/>
    </row>
    <row r="331" spans="5:5" ht="15.75" thickBot="1" x14ac:dyDescent="0.3">
      <c r="E331" s="17"/>
    </row>
    <row r="332" spans="5:5" ht="15.75" thickBot="1" x14ac:dyDescent="0.3">
      <c r="E332" s="17"/>
    </row>
    <row r="333" spans="5:5" ht="15.75" thickBot="1" x14ac:dyDescent="0.3">
      <c r="E333" s="17"/>
    </row>
    <row r="334" spans="5:5" ht="15.75" thickBot="1" x14ac:dyDescent="0.3">
      <c r="E334" s="17"/>
    </row>
    <row r="335" spans="5:5" ht="15.75" thickBot="1" x14ac:dyDescent="0.3">
      <c r="E335" s="17"/>
    </row>
    <row r="336" spans="5:5" ht="15.75" thickBot="1" x14ac:dyDescent="0.3">
      <c r="E336" s="17"/>
    </row>
    <row r="337" spans="5:5" ht="15.75" thickBot="1" x14ac:dyDescent="0.3">
      <c r="E337" s="17"/>
    </row>
    <row r="338" spans="5:5" ht="15.75" thickBot="1" x14ac:dyDescent="0.3">
      <c r="E338" s="17"/>
    </row>
    <row r="339" spans="5:5" ht="15.75" thickBot="1" x14ac:dyDescent="0.3">
      <c r="E339" s="17"/>
    </row>
    <row r="340" spans="5:5" ht="15.75" thickBot="1" x14ac:dyDescent="0.3">
      <c r="E340" s="17"/>
    </row>
    <row r="341" spans="5:5" ht="15.75" thickBot="1" x14ac:dyDescent="0.3">
      <c r="E341" s="17"/>
    </row>
    <row r="342" spans="5:5" ht="15.75" thickBot="1" x14ac:dyDescent="0.3">
      <c r="E342" s="17"/>
    </row>
    <row r="343" spans="5:5" ht="15.75" thickBot="1" x14ac:dyDescent="0.3">
      <c r="E343" s="17"/>
    </row>
    <row r="344" spans="5:5" ht="15.75" thickBot="1" x14ac:dyDescent="0.3">
      <c r="E344" s="17"/>
    </row>
    <row r="345" spans="5:5" ht="15.75" thickBot="1" x14ac:dyDescent="0.3">
      <c r="E345" s="17"/>
    </row>
    <row r="346" spans="5:5" ht="15.75" thickBot="1" x14ac:dyDescent="0.3">
      <c r="E346" s="17"/>
    </row>
    <row r="347" spans="5:5" ht="15.75" thickBot="1" x14ac:dyDescent="0.3">
      <c r="E347" s="17"/>
    </row>
    <row r="348" spans="5:5" ht="15.75" thickBot="1" x14ac:dyDescent="0.3">
      <c r="E348" s="17"/>
    </row>
    <row r="349" spans="5:5" ht="15.75" thickBot="1" x14ac:dyDescent="0.3">
      <c r="E349" s="17"/>
    </row>
    <row r="350" spans="5:5" ht="15.75" thickBot="1" x14ac:dyDescent="0.3">
      <c r="E350" s="17"/>
    </row>
    <row r="351" spans="5:5" ht="15.75" thickBot="1" x14ac:dyDescent="0.3">
      <c r="E351" s="17"/>
    </row>
    <row r="352" spans="5:5" ht="15.75" thickBot="1" x14ac:dyDescent="0.3">
      <c r="E352" s="17"/>
    </row>
    <row r="353" spans="5:5" ht="15.75" thickBot="1" x14ac:dyDescent="0.3">
      <c r="E353" s="17"/>
    </row>
    <row r="354" spans="5:5" ht="15.75" thickBot="1" x14ac:dyDescent="0.3">
      <c r="E354" s="17"/>
    </row>
    <row r="355" spans="5:5" ht="15.75" thickBot="1" x14ac:dyDescent="0.3">
      <c r="E355" s="17"/>
    </row>
    <row r="356" spans="5:5" ht="15.75" thickBot="1" x14ac:dyDescent="0.3">
      <c r="E356" s="17"/>
    </row>
    <row r="357" spans="5:5" ht="15.75" thickBot="1" x14ac:dyDescent="0.3">
      <c r="E357" s="17"/>
    </row>
    <row r="358" spans="5:5" ht="15.75" thickBot="1" x14ac:dyDescent="0.3">
      <c r="E358" s="17"/>
    </row>
    <row r="359" spans="5:5" ht="15.75" thickBot="1" x14ac:dyDescent="0.3">
      <c r="E359" s="17"/>
    </row>
    <row r="360" spans="5:5" ht="15.75" thickBot="1" x14ac:dyDescent="0.3">
      <c r="E360" s="17"/>
    </row>
    <row r="361" spans="5:5" ht="15.75" thickBot="1" x14ac:dyDescent="0.3">
      <c r="E361" s="17"/>
    </row>
    <row r="362" spans="5:5" ht="15.75" thickBot="1" x14ac:dyDescent="0.3">
      <c r="E362" s="17"/>
    </row>
    <row r="363" spans="5:5" ht="15.75" thickBot="1" x14ac:dyDescent="0.3">
      <c r="E363" s="17"/>
    </row>
    <row r="364" spans="5:5" ht="15.75" thickBot="1" x14ac:dyDescent="0.3">
      <c r="E364" s="17"/>
    </row>
    <row r="365" spans="5:5" ht="15.75" thickBot="1" x14ac:dyDescent="0.3">
      <c r="E365" s="17"/>
    </row>
    <row r="366" spans="5:5" ht="15.75" thickBot="1" x14ac:dyDescent="0.3">
      <c r="E366" s="17"/>
    </row>
    <row r="367" spans="5:5" ht="15.75" thickBot="1" x14ac:dyDescent="0.3">
      <c r="E367" s="17"/>
    </row>
    <row r="368" spans="5:5" ht="15.75" thickBot="1" x14ac:dyDescent="0.3">
      <c r="E368" s="17"/>
    </row>
    <row r="369" spans="5:5" ht="15.75" thickBot="1" x14ac:dyDescent="0.3">
      <c r="E369" s="17"/>
    </row>
    <row r="370" spans="5:5" ht="15.75" thickBot="1" x14ac:dyDescent="0.3">
      <c r="E370" s="17"/>
    </row>
    <row r="371" spans="5:5" ht="15.75" thickBot="1" x14ac:dyDescent="0.3">
      <c r="E371" s="17"/>
    </row>
    <row r="372" spans="5:5" ht="15.75" thickBot="1" x14ac:dyDescent="0.3">
      <c r="E372" s="17"/>
    </row>
    <row r="373" spans="5:5" ht="15.75" thickBot="1" x14ac:dyDescent="0.3">
      <c r="E373" s="17"/>
    </row>
    <row r="374" spans="5:5" ht="15.75" thickBot="1" x14ac:dyDescent="0.3">
      <c r="E374" s="17"/>
    </row>
    <row r="375" spans="5:5" ht="15.75" thickBot="1" x14ac:dyDescent="0.3">
      <c r="E375" s="17"/>
    </row>
    <row r="376" spans="5:5" ht="15.75" thickBot="1" x14ac:dyDescent="0.3">
      <c r="E376" s="17"/>
    </row>
    <row r="377" spans="5:5" ht="15.75" thickBot="1" x14ac:dyDescent="0.3">
      <c r="E377" s="17"/>
    </row>
    <row r="378" spans="5:5" ht="15.75" thickBot="1" x14ac:dyDescent="0.3">
      <c r="E378" s="17"/>
    </row>
    <row r="379" spans="5:5" ht="15.75" thickBot="1" x14ac:dyDescent="0.3">
      <c r="E379" s="17"/>
    </row>
    <row r="380" spans="5:5" ht="15.75" thickBot="1" x14ac:dyDescent="0.3">
      <c r="E380" s="17"/>
    </row>
    <row r="381" spans="5:5" ht="15.75" thickBot="1" x14ac:dyDescent="0.3">
      <c r="E381" s="17"/>
    </row>
    <row r="382" spans="5:5" ht="15.75" thickBot="1" x14ac:dyDescent="0.3">
      <c r="E382" s="17"/>
    </row>
    <row r="383" spans="5:5" ht="15.75" thickBot="1" x14ac:dyDescent="0.3">
      <c r="E383" s="17"/>
    </row>
    <row r="384" spans="5:5" ht="15.75" thickBot="1" x14ac:dyDescent="0.3">
      <c r="E384" s="17"/>
    </row>
    <row r="385" spans="5:5" ht="15.75" thickBot="1" x14ac:dyDescent="0.3">
      <c r="E385" s="17"/>
    </row>
    <row r="386" spans="5:5" ht="15.75" thickBot="1" x14ac:dyDescent="0.3">
      <c r="E386" s="17"/>
    </row>
    <row r="387" spans="5:5" ht="15.75" thickBot="1" x14ac:dyDescent="0.3">
      <c r="E387" s="17"/>
    </row>
    <row r="388" spans="5:5" ht="15.75" thickBot="1" x14ac:dyDescent="0.3">
      <c r="E388" s="17"/>
    </row>
    <row r="389" spans="5:5" ht="15.75" thickBot="1" x14ac:dyDescent="0.3">
      <c r="E389" s="17"/>
    </row>
    <row r="390" spans="5:5" ht="15.75" thickBot="1" x14ac:dyDescent="0.3">
      <c r="E390" s="17"/>
    </row>
    <row r="391" spans="5:5" ht="15.75" thickBot="1" x14ac:dyDescent="0.3">
      <c r="E391" s="17"/>
    </row>
    <row r="392" spans="5:5" ht="15.75" thickBot="1" x14ac:dyDescent="0.3">
      <c r="E392" s="17"/>
    </row>
    <row r="393" spans="5:5" ht="15.75" thickBot="1" x14ac:dyDescent="0.3">
      <c r="E393" s="17"/>
    </row>
    <row r="394" spans="5:5" ht="15.75" thickBot="1" x14ac:dyDescent="0.3">
      <c r="E394" s="17"/>
    </row>
    <row r="395" spans="5:5" ht="15.75" thickBot="1" x14ac:dyDescent="0.3">
      <c r="E395" s="17"/>
    </row>
    <row r="396" spans="5:5" ht="15.75" thickBot="1" x14ac:dyDescent="0.3">
      <c r="E396" s="17"/>
    </row>
    <row r="397" spans="5:5" ht="15.75" thickBot="1" x14ac:dyDescent="0.3">
      <c r="E397" s="17"/>
    </row>
    <row r="398" spans="5:5" ht="15.75" thickBot="1" x14ac:dyDescent="0.3">
      <c r="E398" s="17"/>
    </row>
    <row r="399" spans="5:5" ht="15.75" thickBot="1" x14ac:dyDescent="0.3">
      <c r="E399" s="17"/>
    </row>
    <row r="400" spans="5:5" ht="15.75" thickBot="1" x14ac:dyDescent="0.3">
      <c r="E400" s="17"/>
    </row>
    <row r="401" spans="5:5" ht="15.75" thickBot="1" x14ac:dyDescent="0.3">
      <c r="E401" s="17"/>
    </row>
    <row r="402" spans="5:5" ht="15.75" thickBot="1" x14ac:dyDescent="0.3">
      <c r="E402" s="17"/>
    </row>
    <row r="403" spans="5:5" ht="15.75" thickBot="1" x14ac:dyDescent="0.3">
      <c r="E403" s="17"/>
    </row>
    <row r="404" spans="5:5" ht="15.75" thickBot="1" x14ac:dyDescent="0.3">
      <c r="E404" s="17"/>
    </row>
    <row r="405" spans="5:5" ht="15.75" thickBot="1" x14ac:dyDescent="0.3">
      <c r="E405" s="17"/>
    </row>
    <row r="406" spans="5:5" ht="15.75" thickBot="1" x14ac:dyDescent="0.3">
      <c r="E406" s="17"/>
    </row>
    <row r="407" spans="5:5" ht="15.75" thickBot="1" x14ac:dyDescent="0.3">
      <c r="E407" s="17"/>
    </row>
    <row r="408" spans="5:5" ht="15.75" thickBot="1" x14ac:dyDescent="0.3">
      <c r="E408" s="17"/>
    </row>
    <row r="409" spans="5:5" ht="15.75" thickBot="1" x14ac:dyDescent="0.3">
      <c r="E409" s="17"/>
    </row>
    <row r="410" spans="5:5" ht="15.75" thickBot="1" x14ac:dyDescent="0.3">
      <c r="E410" s="17"/>
    </row>
    <row r="411" spans="5:5" ht="15.75" thickBot="1" x14ac:dyDescent="0.3">
      <c r="E411" s="17"/>
    </row>
    <row r="412" spans="5:5" ht="15.75" thickBot="1" x14ac:dyDescent="0.3">
      <c r="E412" s="17"/>
    </row>
    <row r="413" spans="5:5" ht="15.75" thickBot="1" x14ac:dyDescent="0.3">
      <c r="E413" s="17"/>
    </row>
    <row r="414" spans="5:5" ht="15.75" thickBot="1" x14ac:dyDescent="0.3">
      <c r="E414" s="17"/>
    </row>
    <row r="415" spans="5:5" ht="15.75" thickBot="1" x14ac:dyDescent="0.3">
      <c r="E415" s="17"/>
    </row>
    <row r="416" spans="5:5" ht="15.75" thickBot="1" x14ac:dyDescent="0.3">
      <c r="E416" s="17"/>
    </row>
    <row r="417" spans="5:5" ht="15.75" thickBot="1" x14ac:dyDescent="0.3">
      <c r="E417" s="17"/>
    </row>
    <row r="418" spans="5:5" ht="15.75" thickBot="1" x14ac:dyDescent="0.3">
      <c r="E418" s="17"/>
    </row>
    <row r="419" spans="5:5" ht="15.75" thickBot="1" x14ac:dyDescent="0.3">
      <c r="E419" s="17"/>
    </row>
    <row r="420" spans="5:5" ht="15.75" thickBot="1" x14ac:dyDescent="0.3">
      <c r="E420" s="17"/>
    </row>
    <row r="421" spans="5:5" ht="15.75" thickBot="1" x14ac:dyDescent="0.3">
      <c r="E421" s="17"/>
    </row>
    <row r="422" spans="5:5" ht="15.75" thickBot="1" x14ac:dyDescent="0.3">
      <c r="E422" s="17"/>
    </row>
    <row r="423" spans="5:5" ht="15.75" thickBot="1" x14ac:dyDescent="0.3">
      <c r="E423" s="17"/>
    </row>
    <row r="424" spans="5:5" ht="15.75" thickBot="1" x14ac:dyDescent="0.3">
      <c r="E424" s="17"/>
    </row>
    <row r="425" spans="5:5" ht="15.75" thickBot="1" x14ac:dyDescent="0.3">
      <c r="E425" s="17"/>
    </row>
    <row r="426" spans="5:5" ht="15.75" thickBot="1" x14ac:dyDescent="0.3">
      <c r="E426" s="17"/>
    </row>
    <row r="427" spans="5:5" ht="15.75" thickBot="1" x14ac:dyDescent="0.3">
      <c r="E427" s="17"/>
    </row>
    <row r="428" spans="5:5" ht="15.75" thickBot="1" x14ac:dyDescent="0.3">
      <c r="E428" s="17"/>
    </row>
    <row r="429" spans="5:5" ht="15.75" thickBot="1" x14ac:dyDescent="0.3">
      <c r="E429" s="17"/>
    </row>
    <row r="430" spans="5:5" ht="15.75" thickBot="1" x14ac:dyDescent="0.3">
      <c r="E430" s="17"/>
    </row>
    <row r="431" spans="5:5" ht="15.75" thickBot="1" x14ac:dyDescent="0.3">
      <c r="E431" s="17"/>
    </row>
    <row r="432" spans="5:5" ht="15.75" thickBot="1" x14ac:dyDescent="0.3">
      <c r="E432" s="17"/>
    </row>
    <row r="433" spans="5:5" ht="15.75" thickBot="1" x14ac:dyDescent="0.3">
      <c r="E433" s="17"/>
    </row>
    <row r="434" spans="5:5" ht="15.75" thickBot="1" x14ac:dyDescent="0.3">
      <c r="E434" s="17"/>
    </row>
    <row r="435" spans="5:5" ht="15.75" thickBot="1" x14ac:dyDescent="0.3">
      <c r="E435" s="17"/>
    </row>
    <row r="436" spans="5:5" ht="15.75" thickBot="1" x14ac:dyDescent="0.3">
      <c r="E436" s="17"/>
    </row>
    <row r="437" spans="5:5" ht="15.75" thickBot="1" x14ac:dyDescent="0.3">
      <c r="E437" s="17"/>
    </row>
    <row r="438" spans="5:5" ht="15.75" thickBot="1" x14ac:dyDescent="0.3">
      <c r="E438" s="17"/>
    </row>
    <row r="439" spans="5:5" ht="15.75" thickBot="1" x14ac:dyDescent="0.3">
      <c r="E439" s="17"/>
    </row>
    <row r="440" spans="5:5" ht="15.75" thickBot="1" x14ac:dyDescent="0.3">
      <c r="E440" s="17"/>
    </row>
    <row r="441" spans="5:5" ht="15.75" thickBot="1" x14ac:dyDescent="0.3">
      <c r="E441" s="17"/>
    </row>
    <row r="442" spans="5:5" ht="15.75" thickBot="1" x14ac:dyDescent="0.3">
      <c r="E442" s="17"/>
    </row>
    <row r="443" spans="5:5" ht="15.75" thickBot="1" x14ac:dyDescent="0.3">
      <c r="E443" s="17"/>
    </row>
    <row r="444" spans="5:5" ht="15.75" thickBot="1" x14ac:dyDescent="0.3">
      <c r="E444" s="17"/>
    </row>
    <row r="445" spans="5:5" ht="15.75" thickBot="1" x14ac:dyDescent="0.3">
      <c r="E445" s="17"/>
    </row>
    <row r="446" spans="5:5" ht="15.75" thickBot="1" x14ac:dyDescent="0.3">
      <c r="E446" s="17"/>
    </row>
    <row r="447" spans="5:5" ht="15.75" thickBot="1" x14ac:dyDescent="0.3">
      <c r="E447" s="17"/>
    </row>
    <row r="448" spans="5:5" ht="15.75" thickBot="1" x14ac:dyDescent="0.3">
      <c r="E448" s="17"/>
    </row>
    <row r="449" spans="5:5" ht="15.75" thickBot="1" x14ac:dyDescent="0.3">
      <c r="E449" s="17"/>
    </row>
    <row r="450" spans="5:5" ht="15.75" thickBot="1" x14ac:dyDescent="0.3">
      <c r="E450" s="17"/>
    </row>
    <row r="451" spans="5:5" ht="15.75" thickBot="1" x14ac:dyDescent="0.3">
      <c r="E451" s="17"/>
    </row>
    <row r="452" spans="5:5" ht="15.75" thickBot="1" x14ac:dyDescent="0.3">
      <c r="E452" s="17"/>
    </row>
    <row r="453" spans="5:5" ht="15.75" thickBot="1" x14ac:dyDescent="0.3">
      <c r="E453" s="17"/>
    </row>
    <row r="454" spans="5:5" ht="15.75" thickBot="1" x14ac:dyDescent="0.3">
      <c r="E454" s="17"/>
    </row>
    <row r="455" spans="5:5" ht="15.75" thickBot="1" x14ac:dyDescent="0.3">
      <c r="E455" s="17"/>
    </row>
    <row r="456" spans="5:5" ht="15.75" thickBot="1" x14ac:dyDescent="0.3">
      <c r="E456" s="17"/>
    </row>
    <row r="457" spans="5:5" ht="15.75" thickBot="1" x14ac:dyDescent="0.3">
      <c r="E457" s="17"/>
    </row>
    <row r="458" spans="5:5" ht="15.75" thickBot="1" x14ac:dyDescent="0.3">
      <c r="E458" s="17"/>
    </row>
    <row r="459" spans="5:5" ht="15.75" thickBot="1" x14ac:dyDescent="0.3">
      <c r="E459" s="17"/>
    </row>
    <row r="460" spans="5:5" ht="15.75" thickBot="1" x14ac:dyDescent="0.3">
      <c r="E460" s="17"/>
    </row>
    <row r="461" spans="5:5" ht="15.75" thickBot="1" x14ac:dyDescent="0.3">
      <c r="E461" s="17"/>
    </row>
    <row r="462" spans="5:5" ht="15.75" thickBot="1" x14ac:dyDescent="0.3">
      <c r="E462" s="17"/>
    </row>
    <row r="463" spans="5:5" ht="15.75" thickBot="1" x14ac:dyDescent="0.3">
      <c r="E463" s="17"/>
    </row>
    <row r="464" spans="5:5" ht="15.75" thickBot="1" x14ac:dyDescent="0.3">
      <c r="E464" s="17"/>
    </row>
    <row r="465" spans="5:5" ht="15.75" thickBot="1" x14ac:dyDescent="0.3">
      <c r="E465" s="17"/>
    </row>
    <row r="466" spans="5:5" ht="15.75" thickBot="1" x14ac:dyDescent="0.3">
      <c r="E466" s="17"/>
    </row>
    <row r="467" spans="5:5" ht="15.75" thickBot="1" x14ac:dyDescent="0.3">
      <c r="E467" s="17"/>
    </row>
    <row r="468" spans="5:5" ht="15.75" thickBot="1" x14ac:dyDescent="0.3">
      <c r="E468" s="17"/>
    </row>
    <row r="469" spans="5:5" ht="15.75" thickBot="1" x14ac:dyDescent="0.3">
      <c r="E469" s="17"/>
    </row>
    <row r="470" spans="5:5" ht="15.75" thickBot="1" x14ac:dyDescent="0.3">
      <c r="E470" s="17"/>
    </row>
    <row r="471" spans="5:5" ht="15.75" thickBot="1" x14ac:dyDescent="0.3">
      <c r="E471" s="17"/>
    </row>
    <row r="472" spans="5:5" ht="15.75" thickBot="1" x14ac:dyDescent="0.3">
      <c r="E472" s="17"/>
    </row>
    <row r="473" spans="5:5" ht="15.75" thickBot="1" x14ac:dyDescent="0.3">
      <c r="E473" s="17"/>
    </row>
    <row r="474" spans="5:5" ht="15.75" thickBot="1" x14ac:dyDescent="0.3">
      <c r="E474" s="17"/>
    </row>
    <row r="475" spans="5:5" ht="15.75" thickBot="1" x14ac:dyDescent="0.3">
      <c r="E475" s="17"/>
    </row>
    <row r="476" spans="5:5" ht="15.75" thickBot="1" x14ac:dyDescent="0.3">
      <c r="E476" s="17"/>
    </row>
    <row r="477" spans="5:5" ht="15.75" thickBot="1" x14ac:dyDescent="0.3">
      <c r="E477" s="17"/>
    </row>
    <row r="478" spans="5:5" ht="15.75" thickBot="1" x14ac:dyDescent="0.3">
      <c r="E478" s="17"/>
    </row>
    <row r="479" spans="5:5" ht="15.75" thickBot="1" x14ac:dyDescent="0.3">
      <c r="E479" s="17"/>
    </row>
    <row r="480" spans="5:5" ht="15.75" thickBot="1" x14ac:dyDescent="0.3">
      <c r="E480" s="17"/>
    </row>
    <row r="481" spans="5:5" ht="15.75" thickBot="1" x14ac:dyDescent="0.3">
      <c r="E481" s="17"/>
    </row>
    <row r="482" spans="5:5" ht="15.75" thickBot="1" x14ac:dyDescent="0.3">
      <c r="E482" s="17"/>
    </row>
    <row r="483" spans="5:5" ht="15.75" thickBot="1" x14ac:dyDescent="0.3">
      <c r="E483" s="17"/>
    </row>
    <row r="484" spans="5:5" ht="15.75" thickBot="1" x14ac:dyDescent="0.3">
      <c r="E484" s="17"/>
    </row>
    <row r="485" spans="5:5" ht="15.75" thickBot="1" x14ac:dyDescent="0.3">
      <c r="E485" s="17"/>
    </row>
    <row r="486" spans="5:5" ht="15.75" thickBot="1" x14ac:dyDescent="0.3">
      <c r="E486" s="17"/>
    </row>
    <row r="487" spans="5:5" ht="15.75" thickBot="1" x14ac:dyDescent="0.3">
      <c r="E487" s="17"/>
    </row>
    <row r="488" spans="5:5" ht="15.75" thickBot="1" x14ac:dyDescent="0.3">
      <c r="E488" s="17"/>
    </row>
    <row r="489" spans="5:5" ht="15.75" thickBot="1" x14ac:dyDescent="0.3">
      <c r="E489" s="17"/>
    </row>
    <row r="490" spans="5:5" ht="15.75" thickBot="1" x14ac:dyDescent="0.3">
      <c r="E490" s="17"/>
    </row>
    <row r="491" spans="5:5" ht="15.75" thickBot="1" x14ac:dyDescent="0.3">
      <c r="E491" s="17"/>
    </row>
    <row r="492" spans="5:5" ht="15.75" thickBot="1" x14ac:dyDescent="0.3">
      <c r="E492" s="17"/>
    </row>
    <row r="493" spans="5:5" ht="15.75" thickBot="1" x14ac:dyDescent="0.3">
      <c r="E493" s="17"/>
    </row>
    <row r="494" spans="5:5" ht="15.75" thickBot="1" x14ac:dyDescent="0.3">
      <c r="E494" s="17"/>
    </row>
    <row r="495" spans="5:5" ht="15.75" thickBot="1" x14ac:dyDescent="0.3">
      <c r="E495" s="17"/>
    </row>
    <row r="496" spans="5:5" ht="15.75" thickBot="1" x14ac:dyDescent="0.3">
      <c r="E496" s="17"/>
    </row>
    <row r="497" spans="5:5" ht="15.75" thickBot="1" x14ac:dyDescent="0.3">
      <c r="E497" s="17"/>
    </row>
    <row r="498" spans="5:5" ht="15.75" thickBot="1" x14ac:dyDescent="0.3">
      <c r="E498" s="17"/>
    </row>
    <row r="499" spans="5:5" ht="15.75" thickBot="1" x14ac:dyDescent="0.3">
      <c r="E499" s="17"/>
    </row>
    <row r="500" spans="5:5" ht="15.75" thickBot="1" x14ac:dyDescent="0.3">
      <c r="E500" s="17"/>
    </row>
    <row r="501" spans="5:5" ht="15.75" thickBot="1" x14ac:dyDescent="0.3">
      <c r="E501" s="17"/>
    </row>
    <row r="502" spans="5:5" ht="15.75" thickBot="1" x14ac:dyDescent="0.3">
      <c r="E502" s="17"/>
    </row>
    <row r="503" spans="5:5" ht="15.75" thickBot="1" x14ac:dyDescent="0.3">
      <c r="E503" s="17"/>
    </row>
    <row r="504" spans="5:5" ht="15.75" thickBot="1" x14ac:dyDescent="0.3">
      <c r="E504" s="17"/>
    </row>
    <row r="505" spans="5:5" ht="15.75" thickBot="1" x14ac:dyDescent="0.3">
      <c r="E505" s="17"/>
    </row>
    <row r="506" spans="5:5" ht="15.75" thickBot="1" x14ac:dyDescent="0.3">
      <c r="E506" s="17"/>
    </row>
    <row r="507" spans="5:5" ht="15.75" thickBot="1" x14ac:dyDescent="0.3">
      <c r="E507" s="17"/>
    </row>
    <row r="508" spans="5:5" ht="15.75" thickBot="1" x14ac:dyDescent="0.3">
      <c r="E508" s="17"/>
    </row>
    <row r="509" spans="5:5" ht="15.75" thickBot="1" x14ac:dyDescent="0.3">
      <c r="E509" s="17"/>
    </row>
    <row r="510" spans="5:5" ht="15.75" thickBot="1" x14ac:dyDescent="0.3">
      <c r="E510" s="17"/>
    </row>
    <row r="511" spans="5:5" ht="15.75" thickBot="1" x14ac:dyDescent="0.3">
      <c r="E511" s="17"/>
    </row>
    <row r="512" spans="5:5" ht="15.75" thickBot="1" x14ac:dyDescent="0.3">
      <c r="E512" s="17"/>
    </row>
    <row r="513" spans="5:5" ht="15.75" thickBot="1" x14ac:dyDescent="0.3">
      <c r="E513" s="17"/>
    </row>
    <row r="514" spans="5:5" ht="15.75" thickBot="1" x14ac:dyDescent="0.3">
      <c r="E514" s="17"/>
    </row>
    <row r="515" spans="5:5" ht="15.75" thickBot="1" x14ac:dyDescent="0.3">
      <c r="E515" s="17"/>
    </row>
    <row r="516" spans="5:5" ht="15.75" thickBot="1" x14ac:dyDescent="0.3">
      <c r="E516" s="17"/>
    </row>
    <row r="517" spans="5:5" ht="15.75" thickBot="1" x14ac:dyDescent="0.3">
      <c r="E517" s="17"/>
    </row>
    <row r="518" spans="5:5" ht="15.75" thickBot="1" x14ac:dyDescent="0.3">
      <c r="E518" s="17"/>
    </row>
    <row r="519" spans="5:5" ht="15.75" thickBot="1" x14ac:dyDescent="0.3">
      <c r="E519" s="17"/>
    </row>
    <row r="520" spans="5:5" ht="15.75" thickBot="1" x14ac:dyDescent="0.3">
      <c r="E520" s="17"/>
    </row>
    <row r="521" spans="5:5" ht="15.75" thickBot="1" x14ac:dyDescent="0.3">
      <c r="E521" s="17"/>
    </row>
    <row r="522" spans="5:5" ht="15.75" thickBot="1" x14ac:dyDescent="0.3">
      <c r="E522" s="17"/>
    </row>
    <row r="523" spans="5:5" ht="15.75" thickBot="1" x14ac:dyDescent="0.3">
      <c r="E523" s="17"/>
    </row>
    <row r="524" spans="5:5" ht="15.75" thickBot="1" x14ac:dyDescent="0.3">
      <c r="E524" s="17"/>
    </row>
    <row r="525" spans="5:5" ht="15.75" thickBot="1" x14ac:dyDescent="0.3">
      <c r="E525" s="17"/>
    </row>
    <row r="526" spans="5:5" ht="15.75" thickBot="1" x14ac:dyDescent="0.3">
      <c r="E526" s="17"/>
    </row>
    <row r="527" spans="5:5" ht="15.75" thickBot="1" x14ac:dyDescent="0.3">
      <c r="E527" s="17"/>
    </row>
    <row r="528" spans="5:5" ht="15.75" thickBot="1" x14ac:dyDescent="0.3">
      <c r="E528" s="17"/>
    </row>
    <row r="529" spans="5:5" ht="15.75" thickBot="1" x14ac:dyDescent="0.3">
      <c r="E529" s="17"/>
    </row>
    <row r="530" spans="5:5" ht="15.75" thickBot="1" x14ac:dyDescent="0.3">
      <c r="E530" s="17"/>
    </row>
    <row r="531" spans="5:5" ht="15.75" thickBot="1" x14ac:dyDescent="0.3">
      <c r="E531" s="17"/>
    </row>
    <row r="532" spans="5:5" ht="15.75" thickBot="1" x14ac:dyDescent="0.3">
      <c r="E532" s="17"/>
    </row>
    <row r="533" spans="5:5" ht="15.75" thickBot="1" x14ac:dyDescent="0.3">
      <c r="E533" s="17"/>
    </row>
    <row r="534" spans="5:5" ht="15.75" thickBot="1" x14ac:dyDescent="0.3">
      <c r="E534" s="17"/>
    </row>
    <row r="535" spans="5:5" ht="15.75" thickBot="1" x14ac:dyDescent="0.3">
      <c r="E535" s="17"/>
    </row>
    <row r="536" spans="5:5" ht="15.75" thickBot="1" x14ac:dyDescent="0.3">
      <c r="E536" s="17"/>
    </row>
    <row r="537" spans="5:5" ht="15.75" thickBot="1" x14ac:dyDescent="0.3">
      <c r="E537" s="17"/>
    </row>
    <row r="538" spans="5:5" ht="15.75" thickBot="1" x14ac:dyDescent="0.3">
      <c r="E538" s="17"/>
    </row>
    <row r="539" spans="5:5" ht="15.75" thickBot="1" x14ac:dyDescent="0.3">
      <c r="E539" s="17"/>
    </row>
    <row r="540" spans="5:5" ht="15.75" thickBot="1" x14ac:dyDescent="0.3">
      <c r="E540" s="17"/>
    </row>
    <row r="541" spans="5:5" ht="15.75" thickBot="1" x14ac:dyDescent="0.3">
      <c r="E541" s="17"/>
    </row>
    <row r="542" spans="5:5" ht="15.75" thickBot="1" x14ac:dyDescent="0.3">
      <c r="E542" s="17"/>
    </row>
    <row r="543" spans="5:5" ht="15.75" thickBot="1" x14ac:dyDescent="0.3">
      <c r="E543" s="17"/>
    </row>
    <row r="544" spans="5:5" ht="15.75" thickBot="1" x14ac:dyDescent="0.3">
      <c r="E544" s="17"/>
    </row>
    <row r="545" spans="5:5" ht="15.75" thickBot="1" x14ac:dyDescent="0.3">
      <c r="E545" s="17"/>
    </row>
    <row r="546" spans="5:5" ht="15.75" thickBot="1" x14ac:dyDescent="0.3">
      <c r="E546" s="17"/>
    </row>
    <row r="547" spans="5:5" ht="15.75" thickBot="1" x14ac:dyDescent="0.3">
      <c r="E547" s="17"/>
    </row>
    <row r="548" spans="5:5" ht="15.75" thickBot="1" x14ac:dyDescent="0.3">
      <c r="E548" s="17"/>
    </row>
    <row r="549" spans="5:5" ht="15.75" thickBot="1" x14ac:dyDescent="0.3">
      <c r="E549" s="17"/>
    </row>
    <row r="550" spans="5:5" ht="15.75" thickBot="1" x14ac:dyDescent="0.3">
      <c r="E550" s="17"/>
    </row>
    <row r="551" spans="5:5" ht="15.75" thickBot="1" x14ac:dyDescent="0.3">
      <c r="E551" s="17"/>
    </row>
    <row r="552" spans="5:5" ht="15.75" thickBot="1" x14ac:dyDescent="0.3">
      <c r="E552" s="17"/>
    </row>
    <row r="553" spans="5:5" ht="15.75" thickBot="1" x14ac:dyDescent="0.3">
      <c r="E553" s="17"/>
    </row>
    <row r="554" spans="5:5" ht="15.75" thickBot="1" x14ac:dyDescent="0.3">
      <c r="E554" s="17"/>
    </row>
    <row r="555" spans="5:5" ht="15.75" thickBot="1" x14ac:dyDescent="0.3">
      <c r="E555" s="17"/>
    </row>
    <row r="556" spans="5:5" ht="15.75" thickBot="1" x14ac:dyDescent="0.3">
      <c r="E556" s="17"/>
    </row>
    <row r="557" spans="5:5" ht="15.75" thickBot="1" x14ac:dyDescent="0.3">
      <c r="E557" s="17"/>
    </row>
    <row r="558" spans="5:5" ht="15.75" thickBot="1" x14ac:dyDescent="0.3">
      <c r="E558" s="17"/>
    </row>
    <row r="559" spans="5:5" ht="15.75" thickBot="1" x14ac:dyDescent="0.3">
      <c r="E559" s="17"/>
    </row>
    <row r="560" spans="5:5" ht="15.75" thickBot="1" x14ac:dyDescent="0.3">
      <c r="E560" s="17"/>
    </row>
    <row r="561" spans="5:5" ht="15.75" thickBot="1" x14ac:dyDescent="0.3">
      <c r="E561" s="17"/>
    </row>
    <row r="562" spans="5:5" ht="15.75" thickBot="1" x14ac:dyDescent="0.3">
      <c r="E562" s="17"/>
    </row>
    <row r="563" spans="5:5" ht="15.75" thickBot="1" x14ac:dyDescent="0.3">
      <c r="E563" s="17"/>
    </row>
    <row r="564" spans="5:5" ht="15.75" thickBot="1" x14ac:dyDescent="0.3">
      <c r="E564" s="17"/>
    </row>
    <row r="565" spans="5:5" ht="15.75" thickBot="1" x14ac:dyDescent="0.3">
      <c r="E565" s="17"/>
    </row>
    <row r="566" spans="5:5" ht="15.75" thickBot="1" x14ac:dyDescent="0.3">
      <c r="E566" s="17"/>
    </row>
    <row r="567" spans="5:5" ht="15.75" thickBot="1" x14ac:dyDescent="0.3">
      <c r="E567" s="17"/>
    </row>
    <row r="568" spans="5:5" ht="15.75" thickBot="1" x14ac:dyDescent="0.3">
      <c r="E568" s="17"/>
    </row>
    <row r="569" spans="5:5" ht="15.75" thickBot="1" x14ac:dyDescent="0.3">
      <c r="E569" s="17"/>
    </row>
    <row r="570" spans="5:5" ht="15.75" thickBot="1" x14ac:dyDescent="0.3">
      <c r="E570" s="17"/>
    </row>
    <row r="571" spans="5:5" ht="15.75" thickBot="1" x14ac:dyDescent="0.3">
      <c r="E571" s="17"/>
    </row>
    <row r="572" spans="5:5" ht="15.75" thickBot="1" x14ac:dyDescent="0.3">
      <c r="E572" s="17"/>
    </row>
    <row r="573" spans="5:5" ht="15.75" thickBot="1" x14ac:dyDescent="0.3">
      <c r="E573" s="17"/>
    </row>
    <row r="574" spans="5:5" ht="15.75" thickBot="1" x14ac:dyDescent="0.3">
      <c r="E574" s="17"/>
    </row>
    <row r="575" spans="5:5" ht="15.75" thickBot="1" x14ac:dyDescent="0.3">
      <c r="E575" s="17"/>
    </row>
    <row r="576" spans="5:5" ht="15.75" thickBot="1" x14ac:dyDescent="0.3">
      <c r="E576" s="17"/>
    </row>
    <row r="577" spans="5:5" ht="15.75" thickBot="1" x14ac:dyDescent="0.3">
      <c r="E577" s="17"/>
    </row>
    <row r="578" spans="5:5" ht="15.75" thickBot="1" x14ac:dyDescent="0.3">
      <c r="E578" s="17"/>
    </row>
    <row r="579" spans="5:5" ht="15.75" thickBot="1" x14ac:dyDescent="0.3">
      <c r="E579" s="17"/>
    </row>
    <row r="580" spans="5:5" ht="15.75" thickBot="1" x14ac:dyDescent="0.3">
      <c r="E580" s="17"/>
    </row>
    <row r="581" spans="5:5" ht="15.75" thickBot="1" x14ac:dyDescent="0.3">
      <c r="E581" s="17"/>
    </row>
    <row r="582" spans="5:5" ht="15.75" thickBot="1" x14ac:dyDescent="0.3">
      <c r="E582" s="17"/>
    </row>
    <row r="583" spans="5:5" ht="15.75" thickBot="1" x14ac:dyDescent="0.3">
      <c r="E583" s="17"/>
    </row>
    <row r="584" spans="5:5" ht="15.75" thickBot="1" x14ac:dyDescent="0.3">
      <c r="E584" s="17"/>
    </row>
    <row r="585" spans="5:5" ht="15.75" thickBot="1" x14ac:dyDescent="0.3">
      <c r="E585" s="17"/>
    </row>
    <row r="586" spans="5:5" ht="15.75" thickBot="1" x14ac:dyDescent="0.3">
      <c r="E586" s="17"/>
    </row>
    <row r="587" spans="5:5" ht="15.75" thickBot="1" x14ac:dyDescent="0.3">
      <c r="E587" s="17"/>
    </row>
    <row r="588" spans="5:5" ht="15.75" thickBot="1" x14ac:dyDescent="0.3">
      <c r="E588" s="17"/>
    </row>
    <row r="589" spans="5:5" ht="15.75" thickBot="1" x14ac:dyDescent="0.3">
      <c r="E589" s="17"/>
    </row>
    <row r="590" spans="5:5" ht="15.75" thickBot="1" x14ac:dyDescent="0.3">
      <c r="E590" s="17"/>
    </row>
    <row r="591" spans="5:5" ht="15.75" thickBot="1" x14ac:dyDescent="0.3">
      <c r="E591" s="17"/>
    </row>
    <row r="592" spans="5:5" ht="15.75" thickBot="1" x14ac:dyDescent="0.3">
      <c r="E592" s="17"/>
    </row>
    <row r="593" spans="5:5" ht="15.75" thickBot="1" x14ac:dyDescent="0.3">
      <c r="E593" s="17"/>
    </row>
    <row r="594" spans="5:5" ht="15.75" thickBot="1" x14ac:dyDescent="0.3">
      <c r="E594" s="17"/>
    </row>
    <row r="595" spans="5:5" ht="15.75" thickBot="1" x14ac:dyDescent="0.3">
      <c r="E595" s="17"/>
    </row>
    <row r="596" spans="5:5" ht="15.75" thickBot="1" x14ac:dyDescent="0.3">
      <c r="E596" s="17"/>
    </row>
    <row r="597" spans="5:5" ht="15.75" thickBot="1" x14ac:dyDescent="0.3">
      <c r="E597" s="17"/>
    </row>
    <row r="598" spans="5:5" ht="15.75" thickBot="1" x14ac:dyDescent="0.3">
      <c r="E598" s="17"/>
    </row>
    <row r="599" spans="5:5" ht="15.75" thickBot="1" x14ac:dyDescent="0.3">
      <c r="E599" s="17"/>
    </row>
    <row r="600" spans="5:5" ht="15.75" thickBot="1" x14ac:dyDescent="0.3">
      <c r="E600" s="17"/>
    </row>
    <row r="601" spans="5:5" ht="15.75" thickBot="1" x14ac:dyDescent="0.3">
      <c r="E601" s="17"/>
    </row>
    <row r="602" spans="5:5" ht="15.75" thickBot="1" x14ac:dyDescent="0.3">
      <c r="E602" s="17"/>
    </row>
    <row r="603" spans="5:5" ht="15.75" thickBot="1" x14ac:dyDescent="0.3">
      <c r="E603" s="17"/>
    </row>
    <row r="604" spans="5:5" ht="15.75" thickBot="1" x14ac:dyDescent="0.3">
      <c r="E604" s="17"/>
    </row>
    <row r="605" spans="5:5" ht="15.75" thickBot="1" x14ac:dyDescent="0.3">
      <c r="E605" s="17"/>
    </row>
    <row r="606" spans="5:5" ht="15.75" thickBot="1" x14ac:dyDescent="0.3">
      <c r="E606" s="17"/>
    </row>
    <row r="607" spans="5:5" ht="15.75" thickBot="1" x14ac:dyDescent="0.3">
      <c r="E607" s="17"/>
    </row>
    <row r="608" spans="5:5" ht="15.75" thickBot="1" x14ac:dyDescent="0.3">
      <c r="E608" s="17"/>
    </row>
    <row r="609" spans="5:5" ht="15.75" thickBot="1" x14ac:dyDescent="0.3">
      <c r="E609" s="17"/>
    </row>
    <row r="610" spans="5:5" ht="15.75" thickBot="1" x14ac:dyDescent="0.3">
      <c r="E610" s="17"/>
    </row>
    <row r="611" spans="5:5" ht="15.75" thickBot="1" x14ac:dyDescent="0.3">
      <c r="E611" s="17"/>
    </row>
    <row r="612" spans="5:5" ht="15.75" thickBot="1" x14ac:dyDescent="0.3">
      <c r="E612" s="17"/>
    </row>
    <row r="613" spans="5:5" ht="15.75" thickBot="1" x14ac:dyDescent="0.3">
      <c r="E613" s="17"/>
    </row>
    <row r="614" spans="5:5" ht="15.75" thickBot="1" x14ac:dyDescent="0.3">
      <c r="E614" s="17"/>
    </row>
    <row r="615" spans="5:5" ht="15.75" thickBot="1" x14ac:dyDescent="0.3">
      <c r="E615" s="17"/>
    </row>
    <row r="616" spans="5:5" ht="15.75" thickBot="1" x14ac:dyDescent="0.3">
      <c r="E616" s="17"/>
    </row>
    <row r="617" spans="5:5" ht="15.75" thickBot="1" x14ac:dyDescent="0.3">
      <c r="E617" s="17"/>
    </row>
    <row r="618" spans="5:5" ht="15.75" thickBot="1" x14ac:dyDescent="0.3">
      <c r="E618" s="17"/>
    </row>
    <row r="619" spans="5:5" ht="15.75" thickBot="1" x14ac:dyDescent="0.3">
      <c r="E619" s="17"/>
    </row>
    <row r="620" spans="5:5" ht="15.75" thickBot="1" x14ac:dyDescent="0.3">
      <c r="E620" s="17"/>
    </row>
    <row r="621" spans="5:5" ht="15.75" thickBot="1" x14ac:dyDescent="0.3">
      <c r="E621" s="17"/>
    </row>
    <row r="622" spans="5:5" ht="15.75" thickBot="1" x14ac:dyDescent="0.3">
      <c r="E622" s="17"/>
    </row>
    <row r="623" spans="5:5" ht="15.75" thickBot="1" x14ac:dyDescent="0.3">
      <c r="E623" s="17"/>
    </row>
    <row r="624" spans="5:5" ht="15.75" thickBot="1" x14ac:dyDescent="0.3">
      <c r="E624" s="17"/>
    </row>
    <row r="625" spans="5:5" ht="15.75" thickBot="1" x14ac:dyDescent="0.3">
      <c r="E625" s="17"/>
    </row>
    <row r="626" spans="5:5" ht="15.75" thickBot="1" x14ac:dyDescent="0.3">
      <c r="E626" s="17"/>
    </row>
    <row r="627" spans="5:5" ht="15.75" thickBot="1" x14ac:dyDescent="0.3">
      <c r="E627" s="17"/>
    </row>
    <row r="628" spans="5:5" ht="15.75" thickBot="1" x14ac:dyDescent="0.3">
      <c r="E628" s="17"/>
    </row>
    <row r="629" spans="5:5" ht="15.75" thickBot="1" x14ac:dyDescent="0.3">
      <c r="E629" s="17"/>
    </row>
    <row r="630" spans="5:5" ht="15.75" thickBot="1" x14ac:dyDescent="0.3">
      <c r="E630" s="17"/>
    </row>
    <row r="631" spans="5:5" ht="15.75" thickBot="1" x14ac:dyDescent="0.3">
      <c r="E631" s="17"/>
    </row>
    <row r="632" spans="5:5" ht="15.75" thickBot="1" x14ac:dyDescent="0.3">
      <c r="E632" s="17"/>
    </row>
    <row r="633" spans="5:5" ht="15.75" thickBot="1" x14ac:dyDescent="0.3">
      <c r="E633" s="17"/>
    </row>
    <row r="634" spans="5:5" ht="15.75" thickBot="1" x14ac:dyDescent="0.3">
      <c r="E634" s="17"/>
    </row>
    <row r="635" spans="5:5" ht="15.75" thickBot="1" x14ac:dyDescent="0.3">
      <c r="E635" s="17"/>
    </row>
    <row r="636" spans="5:5" ht="15.75" thickBot="1" x14ac:dyDescent="0.3">
      <c r="E636" s="17"/>
    </row>
    <row r="637" spans="5:5" ht="15.75" thickBot="1" x14ac:dyDescent="0.3">
      <c r="E637" s="17"/>
    </row>
    <row r="638" spans="5:5" ht="15.75" thickBot="1" x14ac:dyDescent="0.3">
      <c r="E638" s="17"/>
    </row>
    <row r="639" spans="5:5" ht="15.75" thickBot="1" x14ac:dyDescent="0.3">
      <c r="E639" s="17"/>
    </row>
    <row r="640" spans="5:5" ht="15.75" thickBot="1" x14ac:dyDescent="0.3">
      <c r="E640" s="17"/>
    </row>
    <row r="641" spans="5:5" ht="15.75" thickBot="1" x14ac:dyDescent="0.3">
      <c r="E641" s="17"/>
    </row>
    <row r="642" spans="5:5" ht="15.75" thickBot="1" x14ac:dyDescent="0.3">
      <c r="E642" s="17"/>
    </row>
    <row r="643" spans="5:5" ht="15.75" thickBot="1" x14ac:dyDescent="0.3">
      <c r="E643" s="17"/>
    </row>
    <row r="644" spans="5:5" ht="15.75" thickBot="1" x14ac:dyDescent="0.3">
      <c r="E644" s="17"/>
    </row>
    <row r="645" spans="5:5" ht="15.75" thickBot="1" x14ac:dyDescent="0.3">
      <c r="E645" s="17"/>
    </row>
    <row r="646" spans="5:5" ht="15.75" thickBot="1" x14ac:dyDescent="0.3">
      <c r="E646" s="17"/>
    </row>
    <row r="647" spans="5:5" ht="15.75" thickBot="1" x14ac:dyDescent="0.3">
      <c r="E647" s="17"/>
    </row>
    <row r="648" spans="5:5" ht="15.75" thickBot="1" x14ac:dyDescent="0.3">
      <c r="E648" s="17"/>
    </row>
    <row r="649" spans="5:5" ht="15.75" thickBot="1" x14ac:dyDescent="0.3">
      <c r="E649" s="17"/>
    </row>
    <row r="650" spans="5:5" ht="15.75" thickBot="1" x14ac:dyDescent="0.3">
      <c r="E650" s="17"/>
    </row>
    <row r="651" spans="5:5" ht="15.75" thickBot="1" x14ac:dyDescent="0.3">
      <c r="E651" s="17"/>
    </row>
    <row r="652" spans="5:5" ht="15.75" thickBot="1" x14ac:dyDescent="0.3">
      <c r="E652" s="17"/>
    </row>
    <row r="653" spans="5:5" ht="15.75" thickBot="1" x14ac:dyDescent="0.3">
      <c r="E653" s="17"/>
    </row>
    <row r="654" spans="5:5" ht="15.75" thickBot="1" x14ac:dyDescent="0.3">
      <c r="E654" s="17"/>
    </row>
    <row r="655" spans="5:5" ht="15.75" thickBot="1" x14ac:dyDescent="0.3">
      <c r="E655" s="17"/>
    </row>
    <row r="656" spans="5:5" ht="15.75" thickBot="1" x14ac:dyDescent="0.3">
      <c r="E656" s="17"/>
    </row>
    <row r="657" spans="5:5" ht="15.75" thickBot="1" x14ac:dyDescent="0.3">
      <c r="E657" s="17"/>
    </row>
    <row r="658" spans="5:5" ht="15.75" thickBot="1" x14ac:dyDescent="0.3">
      <c r="E658" s="17"/>
    </row>
    <row r="659" spans="5:5" ht="15.75" thickBot="1" x14ac:dyDescent="0.3">
      <c r="E659" s="17"/>
    </row>
    <row r="660" spans="5:5" ht="15.75" thickBot="1" x14ac:dyDescent="0.3">
      <c r="E660" s="17"/>
    </row>
    <row r="661" spans="5:5" ht="15.75" thickBot="1" x14ac:dyDescent="0.3">
      <c r="E661" s="17"/>
    </row>
    <row r="662" spans="5:5" ht="15.75" thickBot="1" x14ac:dyDescent="0.3">
      <c r="E662" s="17"/>
    </row>
    <row r="663" spans="5:5" ht="15.75" thickBot="1" x14ac:dyDescent="0.3">
      <c r="E663" s="17"/>
    </row>
    <row r="664" spans="5:5" ht="15.75" thickBot="1" x14ac:dyDescent="0.3">
      <c r="E664" s="17"/>
    </row>
    <row r="665" spans="5:5" ht="15.75" thickBot="1" x14ac:dyDescent="0.3">
      <c r="E665" s="17"/>
    </row>
    <row r="666" spans="5:5" ht="15.75" thickBot="1" x14ac:dyDescent="0.3">
      <c r="E666" s="17"/>
    </row>
    <row r="667" spans="5:5" ht="15.75" thickBot="1" x14ac:dyDescent="0.3">
      <c r="E667" s="17"/>
    </row>
    <row r="668" spans="5:5" ht="15.75" thickBot="1" x14ac:dyDescent="0.3">
      <c r="E668" s="17"/>
    </row>
    <row r="669" spans="5:5" ht="15.75" thickBot="1" x14ac:dyDescent="0.3">
      <c r="E669" s="17"/>
    </row>
    <row r="670" spans="5:5" ht="15.75" thickBot="1" x14ac:dyDescent="0.3">
      <c r="E670" s="17"/>
    </row>
    <row r="671" spans="5:5" ht="15.75" thickBot="1" x14ac:dyDescent="0.3">
      <c r="E671" s="17"/>
    </row>
    <row r="672" spans="5:5" ht="15.75" thickBot="1" x14ac:dyDescent="0.3">
      <c r="E672" s="17"/>
    </row>
    <row r="673" spans="5:5" ht="15.75" thickBot="1" x14ac:dyDescent="0.3">
      <c r="E673" s="17"/>
    </row>
    <row r="674" spans="5:5" ht="15.75" thickBot="1" x14ac:dyDescent="0.3">
      <c r="E674" s="17"/>
    </row>
    <row r="675" spans="5:5" ht="15.75" thickBot="1" x14ac:dyDescent="0.3">
      <c r="E675" s="17"/>
    </row>
    <row r="676" spans="5:5" ht="15.75" thickBot="1" x14ac:dyDescent="0.3">
      <c r="E676" s="17"/>
    </row>
    <row r="677" spans="5:5" ht="15.75" thickBot="1" x14ac:dyDescent="0.3">
      <c r="E677" s="17"/>
    </row>
    <row r="678" spans="5:5" ht="15.75" thickBot="1" x14ac:dyDescent="0.3">
      <c r="E678" s="17"/>
    </row>
    <row r="679" spans="5:5" ht="15.75" thickBot="1" x14ac:dyDescent="0.3">
      <c r="E679" s="17"/>
    </row>
    <row r="680" spans="5:5" ht="15.75" thickBot="1" x14ac:dyDescent="0.3">
      <c r="E680" s="17"/>
    </row>
    <row r="681" spans="5:5" ht="15.75" thickBot="1" x14ac:dyDescent="0.3">
      <c r="E681" s="17"/>
    </row>
    <row r="682" spans="5:5" ht="15.75" thickBot="1" x14ac:dyDescent="0.3">
      <c r="E682" s="17"/>
    </row>
    <row r="683" spans="5:5" ht="15.75" thickBot="1" x14ac:dyDescent="0.3">
      <c r="E683" s="17"/>
    </row>
    <row r="684" spans="5:5" ht="15.75" thickBot="1" x14ac:dyDescent="0.3">
      <c r="E684" s="17"/>
    </row>
    <row r="685" spans="5:5" ht="15.75" thickBot="1" x14ac:dyDescent="0.3">
      <c r="E685" s="17"/>
    </row>
    <row r="686" spans="5:5" ht="15.75" thickBot="1" x14ac:dyDescent="0.3">
      <c r="E686" s="17"/>
    </row>
    <row r="687" spans="5:5" ht="15.75" thickBot="1" x14ac:dyDescent="0.3">
      <c r="E687" s="17"/>
    </row>
    <row r="688" spans="5:5" ht="15.75" thickBot="1" x14ac:dyDescent="0.3">
      <c r="E688" s="17"/>
    </row>
    <row r="689" spans="5:5" ht="15.75" thickBot="1" x14ac:dyDescent="0.3">
      <c r="E689" s="17"/>
    </row>
    <row r="690" spans="5:5" ht="15.75" thickBot="1" x14ac:dyDescent="0.3">
      <c r="E690" s="17"/>
    </row>
    <row r="691" spans="5:5" ht="15.75" thickBot="1" x14ac:dyDescent="0.3">
      <c r="E691" s="17"/>
    </row>
    <row r="692" spans="5:5" ht="15.75" thickBot="1" x14ac:dyDescent="0.3">
      <c r="E692" s="17"/>
    </row>
    <row r="693" spans="5:5" ht="15.75" thickBot="1" x14ac:dyDescent="0.3">
      <c r="E693" s="17"/>
    </row>
    <row r="694" spans="5:5" ht="15.75" thickBot="1" x14ac:dyDescent="0.3">
      <c r="E694" s="17"/>
    </row>
    <row r="695" spans="5:5" ht="15.75" thickBot="1" x14ac:dyDescent="0.3">
      <c r="E695" s="17"/>
    </row>
    <row r="696" spans="5:5" ht="15.75" thickBot="1" x14ac:dyDescent="0.3">
      <c r="E696" s="17"/>
    </row>
    <row r="697" spans="5:5" ht="15.75" thickBot="1" x14ac:dyDescent="0.3">
      <c r="E697" s="17"/>
    </row>
    <row r="698" spans="5:5" ht="15.75" thickBot="1" x14ac:dyDescent="0.3">
      <c r="E698" s="17"/>
    </row>
    <row r="699" spans="5:5" ht="15.75" thickBot="1" x14ac:dyDescent="0.3">
      <c r="E699" s="17"/>
    </row>
    <row r="700" spans="5:5" ht="15.75" thickBot="1" x14ac:dyDescent="0.3">
      <c r="E700" s="17"/>
    </row>
    <row r="701" spans="5:5" ht="15.75" thickBot="1" x14ac:dyDescent="0.3">
      <c r="E701" s="17"/>
    </row>
    <row r="702" spans="5:5" ht="15.75" thickBot="1" x14ac:dyDescent="0.3">
      <c r="E702" s="17"/>
    </row>
    <row r="703" spans="5:5" ht="15.75" thickBot="1" x14ac:dyDescent="0.3">
      <c r="E703" s="17"/>
    </row>
    <row r="704" spans="5:5" ht="15.75" thickBot="1" x14ac:dyDescent="0.3">
      <c r="E704" s="17"/>
    </row>
    <row r="705" spans="5:5" ht="15.75" thickBot="1" x14ac:dyDescent="0.3">
      <c r="E705" s="17"/>
    </row>
    <row r="706" spans="5:5" ht="15.75" thickBot="1" x14ac:dyDescent="0.3">
      <c r="E706" s="17"/>
    </row>
    <row r="707" spans="5:5" ht="15.75" thickBot="1" x14ac:dyDescent="0.3">
      <c r="E707" s="17"/>
    </row>
    <row r="708" spans="5:5" ht="15.75" thickBot="1" x14ac:dyDescent="0.3">
      <c r="E708" s="17"/>
    </row>
    <row r="709" spans="5:5" ht="15.75" thickBot="1" x14ac:dyDescent="0.3">
      <c r="E709" s="17"/>
    </row>
    <row r="710" spans="5:5" ht="15.75" thickBot="1" x14ac:dyDescent="0.3">
      <c r="E710" s="17"/>
    </row>
    <row r="711" spans="5:5" ht="15.75" thickBot="1" x14ac:dyDescent="0.3">
      <c r="E711" s="17"/>
    </row>
    <row r="712" spans="5:5" ht="15.75" thickBot="1" x14ac:dyDescent="0.3">
      <c r="E712" s="17"/>
    </row>
    <row r="713" spans="5:5" ht="15.75" thickBot="1" x14ac:dyDescent="0.3">
      <c r="E713" s="17"/>
    </row>
    <row r="714" spans="5:5" ht="15.75" thickBot="1" x14ac:dyDescent="0.3">
      <c r="E714" s="17"/>
    </row>
    <row r="715" spans="5:5" ht="15.75" thickBot="1" x14ac:dyDescent="0.3">
      <c r="E715" s="17"/>
    </row>
    <row r="716" spans="5:5" ht="15.75" thickBot="1" x14ac:dyDescent="0.3">
      <c r="E716" s="17"/>
    </row>
    <row r="717" spans="5:5" ht="15.75" thickBot="1" x14ac:dyDescent="0.3">
      <c r="E717" s="17"/>
    </row>
    <row r="718" spans="5:5" ht="15.75" thickBot="1" x14ac:dyDescent="0.3">
      <c r="E718" s="17"/>
    </row>
    <row r="719" spans="5:5" ht="15.75" thickBot="1" x14ac:dyDescent="0.3">
      <c r="E719" s="17"/>
    </row>
    <row r="720" spans="5:5" ht="15.75" thickBot="1" x14ac:dyDescent="0.3">
      <c r="E720" s="17"/>
    </row>
    <row r="721" spans="5:5" ht="15.75" thickBot="1" x14ac:dyDescent="0.3">
      <c r="E721" s="17"/>
    </row>
    <row r="722" spans="5:5" ht="15.75" thickBot="1" x14ac:dyDescent="0.3">
      <c r="E722" s="17"/>
    </row>
    <row r="723" spans="5:5" ht="15.75" thickBot="1" x14ac:dyDescent="0.3">
      <c r="E723" s="17"/>
    </row>
    <row r="724" spans="5:5" ht="15.75" thickBot="1" x14ac:dyDescent="0.3">
      <c r="E724" s="17"/>
    </row>
    <row r="725" spans="5:5" ht="15.75" thickBot="1" x14ac:dyDescent="0.3">
      <c r="E725" s="17"/>
    </row>
    <row r="726" spans="5:5" ht="15.75" thickBot="1" x14ac:dyDescent="0.3">
      <c r="E726" s="17"/>
    </row>
    <row r="727" spans="5:5" ht="15.75" thickBot="1" x14ac:dyDescent="0.3">
      <c r="E727" s="17"/>
    </row>
    <row r="728" spans="5:5" ht="15.75" thickBot="1" x14ac:dyDescent="0.3">
      <c r="E728" s="17"/>
    </row>
    <row r="729" spans="5:5" ht="15.75" thickBot="1" x14ac:dyDescent="0.3">
      <c r="E729" s="17"/>
    </row>
    <row r="730" spans="5:5" ht="15.75" thickBot="1" x14ac:dyDescent="0.3">
      <c r="E730" s="17"/>
    </row>
    <row r="731" spans="5:5" ht="15.75" thickBot="1" x14ac:dyDescent="0.3">
      <c r="E731" s="17"/>
    </row>
    <row r="732" spans="5:5" ht="15.75" thickBot="1" x14ac:dyDescent="0.3">
      <c r="E732" s="17"/>
    </row>
    <row r="733" spans="5:5" ht="15.75" thickBot="1" x14ac:dyDescent="0.3">
      <c r="E733" s="17"/>
    </row>
    <row r="734" spans="5:5" ht="15.75" thickBot="1" x14ac:dyDescent="0.3">
      <c r="E734" s="17"/>
    </row>
    <row r="735" spans="5:5" ht="15.75" thickBot="1" x14ac:dyDescent="0.3">
      <c r="E735" s="17"/>
    </row>
    <row r="736" spans="5:5" ht="15.75" thickBot="1" x14ac:dyDescent="0.3">
      <c r="E736" s="17"/>
    </row>
    <row r="737" spans="5:5" ht="15.75" thickBot="1" x14ac:dyDescent="0.3">
      <c r="E737" s="17"/>
    </row>
    <row r="738" spans="5:5" ht="15.75" thickBot="1" x14ac:dyDescent="0.3">
      <c r="E738" s="17"/>
    </row>
    <row r="739" spans="5:5" ht="15.75" thickBot="1" x14ac:dyDescent="0.3">
      <c r="E739" s="17"/>
    </row>
    <row r="740" spans="5:5" ht="15.75" thickBot="1" x14ac:dyDescent="0.3">
      <c r="E740" s="17"/>
    </row>
    <row r="741" spans="5:5" ht="15.75" thickBot="1" x14ac:dyDescent="0.3">
      <c r="E741" s="17"/>
    </row>
    <row r="742" spans="5:5" ht="15.75" thickBot="1" x14ac:dyDescent="0.3">
      <c r="E742" s="17"/>
    </row>
    <row r="743" spans="5:5" ht="15.75" thickBot="1" x14ac:dyDescent="0.3">
      <c r="E743" s="17"/>
    </row>
    <row r="744" spans="5:5" ht="15.75" thickBot="1" x14ac:dyDescent="0.3">
      <c r="E744" s="17"/>
    </row>
    <row r="745" spans="5:5" ht="15.75" thickBot="1" x14ac:dyDescent="0.3">
      <c r="E745" s="17"/>
    </row>
    <row r="746" spans="5:5" ht="15.75" thickBot="1" x14ac:dyDescent="0.3">
      <c r="E746" s="17"/>
    </row>
    <row r="747" spans="5:5" ht="15.75" thickBot="1" x14ac:dyDescent="0.3">
      <c r="E747" s="17"/>
    </row>
    <row r="748" spans="5:5" ht="15.75" thickBot="1" x14ac:dyDescent="0.3">
      <c r="E748" s="17"/>
    </row>
    <row r="749" spans="5:5" ht="15.75" thickBot="1" x14ac:dyDescent="0.3">
      <c r="E749" s="17"/>
    </row>
    <row r="750" spans="5:5" ht="15.75" thickBot="1" x14ac:dyDescent="0.3">
      <c r="E750" s="17"/>
    </row>
    <row r="751" spans="5:5" ht="15.75" thickBot="1" x14ac:dyDescent="0.3">
      <c r="E751" s="17"/>
    </row>
    <row r="752" spans="5:5" ht="15.75" thickBot="1" x14ac:dyDescent="0.3">
      <c r="E752" s="17"/>
    </row>
    <row r="753" spans="5:5" ht="15.75" thickBot="1" x14ac:dyDescent="0.3">
      <c r="E753" s="17"/>
    </row>
    <row r="754" spans="5:5" ht="15.75" thickBot="1" x14ac:dyDescent="0.3">
      <c r="E754" s="17"/>
    </row>
    <row r="755" spans="5:5" ht="15.75" thickBot="1" x14ac:dyDescent="0.3">
      <c r="E755" s="17"/>
    </row>
    <row r="756" spans="5:5" ht="15.75" thickBot="1" x14ac:dyDescent="0.3">
      <c r="E756" s="17"/>
    </row>
    <row r="757" spans="5:5" ht="15.75" thickBot="1" x14ac:dyDescent="0.3">
      <c r="E757" s="17"/>
    </row>
    <row r="758" spans="5:5" ht="15.75" thickBot="1" x14ac:dyDescent="0.3">
      <c r="E758" s="17"/>
    </row>
    <row r="759" spans="5:5" ht="15.75" thickBot="1" x14ac:dyDescent="0.3">
      <c r="E759" s="17"/>
    </row>
    <row r="760" spans="5:5" ht="15.75" thickBot="1" x14ac:dyDescent="0.3">
      <c r="E760" s="17"/>
    </row>
    <row r="761" spans="5:5" ht="15.75" thickBot="1" x14ac:dyDescent="0.3">
      <c r="E761" s="17"/>
    </row>
    <row r="762" spans="5:5" ht="15.75" thickBot="1" x14ac:dyDescent="0.3">
      <c r="E762" s="17"/>
    </row>
    <row r="763" spans="5:5" ht="15.75" thickBot="1" x14ac:dyDescent="0.3">
      <c r="E763" s="17"/>
    </row>
    <row r="764" spans="5:5" ht="15.75" thickBot="1" x14ac:dyDescent="0.3">
      <c r="E764" s="17"/>
    </row>
    <row r="765" spans="5:5" ht="15.75" thickBot="1" x14ac:dyDescent="0.3">
      <c r="E765" s="17"/>
    </row>
    <row r="766" spans="5:5" ht="15.75" thickBot="1" x14ac:dyDescent="0.3">
      <c r="E766" s="17"/>
    </row>
    <row r="767" spans="5:5" ht="15.75" thickBot="1" x14ac:dyDescent="0.3">
      <c r="E767" s="17"/>
    </row>
    <row r="768" spans="5:5" ht="15.75" thickBot="1" x14ac:dyDescent="0.3">
      <c r="E768" s="17"/>
    </row>
    <row r="769" spans="5:5" ht="15.75" thickBot="1" x14ac:dyDescent="0.3">
      <c r="E769" s="17"/>
    </row>
    <row r="770" spans="5:5" ht="15.75" thickBot="1" x14ac:dyDescent="0.3">
      <c r="E770" s="17"/>
    </row>
    <row r="771" spans="5:5" ht="15.75" thickBot="1" x14ac:dyDescent="0.3">
      <c r="E771" s="17"/>
    </row>
    <row r="772" spans="5:5" ht="15.75" thickBot="1" x14ac:dyDescent="0.3">
      <c r="E772" s="17"/>
    </row>
    <row r="773" spans="5:5" ht="15.75" thickBot="1" x14ac:dyDescent="0.3">
      <c r="E773" s="17"/>
    </row>
    <row r="774" spans="5:5" ht="15.75" thickBot="1" x14ac:dyDescent="0.3">
      <c r="E774" s="17"/>
    </row>
    <row r="775" spans="5:5" ht="15.75" thickBot="1" x14ac:dyDescent="0.3">
      <c r="E775" s="17"/>
    </row>
    <row r="776" spans="5:5" ht="15.75" thickBot="1" x14ac:dyDescent="0.3">
      <c r="E776" s="17"/>
    </row>
    <row r="777" spans="5:5" ht="15.75" thickBot="1" x14ac:dyDescent="0.3">
      <c r="E777" s="17"/>
    </row>
    <row r="778" spans="5:5" ht="15.75" thickBot="1" x14ac:dyDescent="0.3">
      <c r="E778" s="17"/>
    </row>
    <row r="779" spans="5:5" ht="15.75" thickBot="1" x14ac:dyDescent="0.3">
      <c r="E779" s="17"/>
    </row>
    <row r="780" spans="5:5" ht="15.75" thickBot="1" x14ac:dyDescent="0.3">
      <c r="E780" s="17"/>
    </row>
    <row r="781" spans="5:5" ht="15.75" thickBot="1" x14ac:dyDescent="0.3">
      <c r="E781" s="17"/>
    </row>
    <row r="782" spans="5:5" ht="15.75" thickBot="1" x14ac:dyDescent="0.3">
      <c r="E782" s="17"/>
    </row>
    <row r="783" spans="5:5" ht="15.75" thickBot="1" x14ac:dyDescent="0.3">
      <c r="E783" s="17"/>
    </row>
    <row r="784" spans="5:5" ht="15.75" thickBot="1" x14ac:dyDescent="0.3">
      <c r="E784" s="17"/>
    </row>
    <row r="785" spans="5:5" ht="15.75" thickBot="1" x14ac:dyDescent="0.3">
      <c r="E785" s="17"/>
    </row>
    <row r="786" spans="5:5" ht="15.75" thickBot="1" x14ac:dyDescent="0.3">
      <c r="E786" s="17"/>
    </row>
    <row r="787" spans="5:5" ht="15.75" thickBot="1" x14ac:dyDescent="0.3">
      <c r="E787" s="17"/>
    </row>
    <row r="788" spans="5:5" ht="15.75" thickBot="1" x14ac:dyDescent="0.3">
      <c r="E788" s="17"/>
    </row>
    <row r="789" spans="5:5" ht="15.75" thickBot="1" x14ac:dyDescent="0.3">
      <c r="E789" s="17"/>
    </row>
    <row r="790" spans="5:5" ht="15.75" thickBot="1" x14ac:dyDescent="0.3">
      <c r="E790" s="17"/>
    </row>
    <row r="791" spans="5:5" ht="15.75" thickBot="1" x14ac:dyDescent="0.3">
      <c r="E791" s="17"/>
    </row>
    <row r="792" spans="5:5" ht="15.75" thickBot="1" x14ac:dyDescent="0.3">
      <c r="E792" s="17"/>
    </row>
    <row r="793" spans="5:5" ht="15.75" thickBot="1" x14ac:dyDescent="0.3">
      <c r="E793" s="17"/>
    </row>
    <row r="794" spans="5:5" ht="15.75" thickBot="1" x14ac:dyDescent="0.3">
      <c r="E794" s="17"/>
    </row>
    <row r="795" spans="5:5" ht="15.75" thickBot="1" x14ac:dyDescent="0.3">
      <c r="E795" s="17"/>
    </row>
    <row r="796" spans="5:5" ht="15.75" thickBot="1" x14ac:dyDescent="0.3">
      <c r="E796" s="17"/>
    </row>
    <row r="797" spans="5:5" ht="15.75" thickBot="1" x14ac:dyDescent="0.3">
      <c r="E797" s="17"/>
    </row>
    <row r="798" spans="5:5" ht="15.75" thickBot="1" x14ac:dyDescent="0.3">
      <c r="E798" s="17"/>
    </row>
    <row r="799" spans="5:5" ht="15.75" thickBot="1" x14ac:dyDescent="0.3">
      <c r="E799" s="17"/>
    </row>
    <row r="800" spans="5:5" ht="15.75" thickBot="1" x14ac:dyDescent="0.3">
      <c r="E800" s="17"/>
    </row>
    <row r="801" spans="5:5" ht="15.75" thickBot="1" x14ac:dyDescent="0.3">
      <c r="E801" s="17"/>
    </row>
    <row r="802" spans="5:5" ht="15.75" thickBot="1" x14ac:dyDescent="0.3">
      <c r="E802" s="17"/>
    </row>
    <row r="803" spans="5:5" ht="15.75" thickBot="1" x14ac:dyDescent="0.3">
      <c r="E803" s="17"/>
    </row>
    <row r="804" spans="5:5" ht="15.75" thickBot="1" x14ac:dyDescent="0.3">
      <c r="E804" s="17"/>
    </row>
    <row r="805" spans="5:5" ht="15.75" thickBot="1" x14ac:dyDescent="0.3">
      <c r="E805" s="17"/>
    </row>
    <row r="806" spans="5:5" ht="15.75" thickBot="1" x14ac:dyDescent="0.3">
      <c r="E806" s="17"/>
    </row>
    <row r="807" spans="5:5" ht="15.75" thickBot="1" x14ac:dyDescent="0.3">
      <c r="E807" s="17"/>
    </row>
    <row r="808" spans="5:5" ht="15.75" thickBot="1" x14ac:dyDescent="0.3">
      <c r="E808" s="17"/>
    </row>
    <row r="809" spans="5:5" ht="15.75" thickBot="1" x14ac:dyDescent="0.3">
      <c r="E809" s="17"/>
    </row>
    <row r="810" spans="5:5" ht="15.75" thickBot="1" x14ac:dyDescent="0.3">
      <c r="E810" s="17"/>
    </row>
    <row r="811" spans="5:5" ht="15.75" thickBot="1" x14ac:dyDescent="0.3">
      <c r="E811" s="17"/>
    </row>
    <row r="812" spans="5:5" ht="15.75" thickBot="1" x14ac:dyDescent="0.3">
      <c r="E812" s="17"/>
    </row>
    <row r="813" spans="5:5" ht="15.75" thickBot="1" x14ac:dyDescent="0.3">
      <c r="E813" s="17"/>
    </row>
    <row r="814" spans="5:5" ht="15.75" thickBot="1" x14ac:dyDescent="0.3">
      <c r="E814" s="17"/>
    </row>
    <row r="815" spans="5:5" ht="15.75" thickBot="1" x14ac:dyDescent="0.3">
      <c r="E815" s="17"/>
    </row>
    <row r="816" spans="5:5" ht="15.75" thickBot="1" x14ac:dyDescent="0.3">
      <c r="E816" s="17"/>
    </row>
    <row r="817" spans="5:5" ht="15.75" thickBot="1" x14ac:dyDescent="0.3">
      <c r="E817" s="17"/>
    </row>
    <row r="818" spans="5:5" ht="15.75" thickBot="1" x14ac:dyDescent="0.3">
      <c r="E818" s="17"/>
    </row>
    <row r="819" spans="5:5" ht="15.75" thickBot="1" x14ac:dyDescent="0.3">
      <c r="E819" s="17"/>
    </row>
    <row r="820" spans="5:5" ht="15.75" thickBot="1" x14ac:dyDescent="0.3">
      <c r="E820" s="17"/>
    </row>
    <row r="821" spans="5:5" ht="15.75" thickBot="1" x14ac:dyDescent="0.3">
      <c r="E821" s="17"/>
    </row>
    <row r="822" spans="5:5" ht="15.75" thickBot="1" x14ac:dyDescent="0.3">
      <c r="E822" s="17"/>
    </row>
    <row r="823" spans="5:5" ht="15.75" thickBot="1" x14ac:dyDescent="0.3">
      <c r="E823" s="17"/>
    </row>
    <row r="824" spans="5:5" ht="15.75" thickBot="1" x14ac:dyDescent="0.3">
      <c r="E824" s="17"/>
    </row>
    <row r="825" spans="5:5" ht="15.75" thickBot="1" x14ac:dyDescent="0.3">
      <c r="E825" s="17"/>
    </row>
    <row r="826" spans="5:5" ht="15.75" thickBot="1" x14ac:dyDescent="0.3">
      <c r="E826" s="17"/>
    </row>
    <row r="827" spans="5:5" ht="15.75" thickBot="1" x14ac:dyDescent="0.3">
      <c r="E827" s="17"/>
    </row>
    <row r="828" spans="5:5" ht="15.75" thickBot="1" x14ac:dyDescent="0.3">
      <c r="E828" s="17"/>
    </row>
    <row r="829" spans="5:5" ht="15.75" thickBot="1" x14ac:dyDescent="0.3">
      <c r="E829" s="17"/>
    </row>
    <row r="830" spans="5:5" ht="15.75" thickBot="1" x14ac:dyDescent="0.3">
      <c r="E830" s="17"/>
    </row>
    <row r="831" spans="5:5" ht="15.75" thickBot="1" x14ac:dyDescent="0.3">
      <c r="E831" s="17"/>
    </row>
    <row r="832" spans="5:5" ht="15.75" thickBot="1" x14ac:dyDescent="0.3">
      <c r="E832" s="17"/>
    </row>
    <row r="833" spans="5:5" ht="15.75" thickBot="1" x14ac:dyDescent="0.3">
      <c r="E833" s="17"/>
    </row>
    <row r="834" spans="5:5" ht="15.75" thickBot="1" x14ac:dyDescent="0.3">
      <c r="E834" s="17"/>
    </row>
    <row r="835" spans="5:5" ht="15.75" thickBot="1" x14ac:dyDescent="0.3">
      <c r="E835" s="17"/>
    </row>
    <row r="836" spans="5:5" ht="15.75" thickBot="1" x14ac:dyDescent="0.3">
      <c r="E836" s="17"/>
    </row>
    <row r="837" spans="5:5" ht="15.75" thickBot="1" x14ac:dyDescent="0.3">
      <c r="E837" s="17"/>
    </row>
    <row r="838" spans="5:5" ht="15.75" thickBot="1" x14ac:dyDescent="0.3">
      <c r="E838" s="17"/>
    </row>
    <row r="839" spans="5:5" ht="15.75" thickBot="1" x14ac:dyDescent="0.3">
      <c r="E839" s="17"/>
    </row>
    <row r="840" spans="5:5" ht="15.75" thickBot="1" x14ac:dyDescent="0.3">
      <c r="E840" s="17"/>
    </row>
    <row r="841" spans="5:5" ht="15.75" thickBot="1" x14ac:dyDescent="0.3">
      <c r="E841" s="17"/>
    </row>
    <row r="842" spans="5:5" ht="15.75" thickBot="1" x14ac:dyDescent="0.3">
      <c r="E842" s="17"/>
    </row>
    <row r="843" spans="5:5" ht="15.75" thickBot="1" x14ac:dyDescent="0.3">
      <c r="E843" s="17"/>
    </row>
    <row r="844" spans="5:5" ht="15.75" thickBot="1" x14ac:dyDescent="0.3">
      <c r="E844" s="17"/>
    </row>
    <row r="845" spans="5:5" ht="15.75" thickBot="1" x14ac:dyDescent="0.3">
      <c r="E845" s="17"/>
    </row>
    <row r="846" spans="5:5" ht="15.75" thickBot="1" x14ac:dyDescent="0.3">
      <c r="E846" s="17"/>
    </row>
    <row r="847" spans="5:5" ht="15.75" thickBot="1" x14ac:dyDescent="0.3">
      <c r="E847" s="17"/>
    </row>
    <row r="848" spans="5:5" ht="15.75" thickBot="1" x14ac:dyDescent="0.3">
      <c r="E848" s="17"/>
    </row>
    <row r="849" spans="5:5" ht="15.75" thickBot="1" x14ac:dyDescent="0.3">
      <c r="E849" s="17"/>
    </row>
    <row r="850" spans="5:5" ht="15.75" thickBot="1" x14ac:dyDescent="0.3">
      <c r="E850" s="17"/>
    </row>
    <row r="851" spans="5:5" ht="15.75" thickBot="1" x14ac:dyDescent="0.3">
      <c r="E851" s="17"/>
    </row>
    <row r="852" spans="5:5" ht="15.75" thickBot="1" x14ac:dyDescent="0.3">
      <c r="E852" s="17"/>
    </row>
    <row r="853" spans="5:5" ht="15.75" thickBot="1" x14ac:dyDescent="0.3">
      <c r="E853" s="17"/>
    </row>
    <row r="854" spans="5:5" ht="15.75" thickBot="1" x14ac:dyDescent="0.3">
      <c r="E854" s="17"/>
    </row>
    <row r="855" spans="5:5" ht="15.75" thickBot="1" x14ac:dyDescent="0.3">
      <c r="E855" s="17"/>
    </row>
    <row r="856" spans="5:5" ht="15.75" thickBot="1" x14ac:dyDescent="0.3">
      <c r="E856" s="17"/>
    </row>
    <row r="857" spans="5:5" ht="15.75" thickBot="1" x14ac:dyDescent="0.3">
      <c r="E857" s="17"/>
    </row>
    <row r="858" spans="5:5" ht="15.75" thickBot="1" x14ac:dyDescent="0.3">
      <c r="E858" s="17"/>
    </row>
    <row r="859" spans="5:5" ht="15.75" thickBot="1" x14ac:dyDescent="0.3">
      <c r="E859" s="17"/>
    </row>
    <row r="860" spans="5:5" ht="15.75" thickBot="1" x14ac:dyDescent="0.3">
      <c r="E860" s="17"/>
    </row>
    <row r="861" spans="5:5" ht="15.75" thickBot="1" x14ac:dyDescent="0.3">
      <c r="E861" s="17"/>
    </row>
    <row r="862" spans="5:5" ht="15.75" thickBot="1" x14ac:dyDescent="0.3">
      <c r="E862" s="17"/>
    </row>
    <row r="863" spans="5:5" ht="15.75" thickBot="1" x14ac:dyDescent="0.3">
      <c r="E863" s="17"/>
    </row>
    <row r="864" spans="5:5" ht="15.75" thickBot="1" x14ac:dyDescent="0.3">
      <c r="E864" s="17"/>
    </row>
    <row r="865" spans="5:5" ht="15.75" thickBot="1" x14ac:dyDescent="0.3">
      <c r="E865" s="17"/>
    </row>
    <row r="866" spans="5:5" ht="15.75" thickBot="1" x14ac:dyDescent="0.3">
      <c r="E866" s="17"/>
    </row>
    <row r="867" spans="5:5" ht="15.75" thickBot="1" x14ac:dyDescent="0.3">
      <c r="E867" s="17"/>
    </row>
    <row r="868" spans="5:5" ht="15.75" thickBot="1" x14ac:dyDescent="0.3">
      <c r="E868" s="17"/>
    </row>
    <row r="869" spans="5:5" ht="15.75" thickBot="1" x14ac:dyDescent="0.3">
      <c r="E869" s="17"/>
    </row>
    <row r="870" spans="5:5" ht="15.75" thickBot="1" x14ac:dyDescent="0.3">
      <c r="E870" s="17"/>
    </row>
    <row r="871" spans="5:5" ht="15.75" thickBot="1" x14ac:dyDescent="0.3">
      <c r="E871" s="17"/>
    </row>
    <row r="872" spans="5:5" ht="15.75" thickBot="1" x14ac:dyDescent="0.3">
      <c r="E872" s="17"/>
    </row>
    <row r="873" spans="5:5" ht="15.75" thickBot="1" x14ac:dyDescent="0.3">
      <c r="E873" s="17"/>
    </row>
    <row r="874" spans="5:5" ht="15.75" thickBot="1" x14ac:dyDescent="0.3">
      <c r="E874" s="17"/>
    </row>
    <row r="875" spans="5:5" ht="15.75" thickBot="1" x14ac:dyDescent="0.3">
      <c r="E875" s="17"/>
    </row>
    <row r="876" spans="5:5" ht="15.75" thickBot="1" x14ac:dyDescent="0.3">
      <c r="E876" s="17"/>
    </row>
    <row r="877" spans="5:5" ht="15.75" thickBot="1" x14ac:dyDescent="0.3">
      <c r="E877" s="17"/>
    </row>
    <row r="878" spans="5:5" ht="15.75" thickBot="1" x14ac:dyDescent="0.3">
      <c r="E878" s="17"/>
    </row>
    <row r="879" spans="5:5" ht="15.75" thickBot="1" x14ac:dyDescent="0.3">
      <c r="E879" s="17"/>
    </row>
    <row r="880" spans="5:5" ht="15.75" thickBot="1" x14ac:dyDescent="0.3">
      <c r="E880" s="17"/>
    </row>
    <row r="881" spans="5:5" ht="15.75" thickBot="1" x14ac:dyDescent="0.3">
      <c r="E881" s="17"/>
    </row>
    <row r="882" spans="5:5" ht="15.75" thickBot="1" x14ac:dyDescent="0.3">
      <c r="E882" s="17"/>
    </row>
    <row r="883" spans="5:5" ht="15.75" thickBot="1" x14ac:dyDescent="0.3">
      <c r="E883" s="17"/>
    </row>
    <row r="884" spans="5:5" ht="15.75" thickBot="1" x14ac:dyDescent="0.3">
      <c r="E884" s="17"/>
    </row>
    <row r="885" spans="5:5" ht="15.75" thickBot="1" x14ac:dyDescent="0.3">
      <c r="E885" s="17"/>
    </row>
    <row r="886" spans="5:5" ht="15.75" thickBot="1" x14ac:dyDescent="0.3">
      <c r="E886" s="17"/>
    </row>
    <row r="887" spans="5:5" ht="15.75" thickBot="1" x14ac:dyDescent="0.3">
      <c r="E887" s="17"/>
    </row>
    <row r="888" spans="5:5" ht="15.75" thickBot="1" x14ac:dyDescent="0.3">
      <c r="E888" s="17"/>
    </row>
    <row r="889" spans="5:5" ht="15.75" thickBot="1" x14ac:dyDescent="0.3">
      <c r="E889" s="17"/>
    </row>
    <row r="890" spans="5:5" ht="15.75" thickBot="1" x14ac:dyDescent="0.3">
      <c r="E890" s="17"/>
    </row>
    <row r="891" spans="5:5" ht="15.75" thickBot="1" x14ac:dyDescent="0.3">
      <c r="E891" s="17"/>
    </row>
    <row r="892" spans="5:5" ht="15.75" thickBot="1" x14ac:dyDescent="0.3">
      <c r="E892" s="17"/>
    </row>
    <row r="893" spans="5:5" ht="15.75" thickBot="1" x14ac:dyDescent="0.3">
      <c r="E893" s="17"/>
    </row>
    <row r="894" spans="5:5" ht="15.75" thickBot="1" x14ac:dyDescent="0.3">
      <c r="E894" s="17"/>
    </row>
    <row r="895" spans="5:5" ht="15.75" thickBot="1" x14ac:dyDescent="0.3">
      <c r="E895" s="17"/>
    </row>
    <row r="896" spans="5:5" ht="15.75" thickBot="1" x14ac:dyDescent="0.3">
      <c r="E896" s="17"/>
    </row>
    <row r="897" spans="5:5" ht="15.75" thickBot="1" x14ac:dyDescent="0.3">
      <c r="E897" s="17"/>
    </row>
    <row r="898" spans="5:5" ht="15.75" thickBot="1" x14ac:dyDescent="0.3">
      <c r="E898" s="17"/>
    </row>
    <row r="899" spans="5:5" ht="15.75" thickBot="1" x14ac:dyDescent="0.3">
      <c r="E899" s="17"/>
    </row>
    <row r="900" spans="5:5" ht="15.75" thickBot="1" x14ac:dyDescent="0.3">
      <c r="E900" s="17"/>
    </row>
    <row r="901" spans="5:5" ht="15.75" thickBot="1" x14ac:dyDescent="0.3">
      <c r="E901" s="17"/>
    </row>
    <row r="902" spans="5:5" ht="15.75" thickBot="1" x14ac:dyDescent="0.3">
      <c r="E902" s="17"/>
    </row>
    <row r="903" spans="5:5" ht="15.75" thickBot="1" x14ac:dyDescent="0.3">
      <c r="E903" s="17"/>
    </row>
    <row r="904" spans="5:5" ht="15.75" thickBot="1" x14ac:dyDescent="0.3">
      <c r="E904" s="17"/>
    </row>
    <row r="905" spans="5:5" ht="15.75" thickBot="1" x14ac:dyDescent="0.3">
      <c r="E905" s="17"/>
    </row>
    <row r="906" spans="5:5" ht="15.75" thickBot="1" x14ac:dyDescent="0.3">
      <c r="E906" s="17"/>
    </row>
    <row r="907" spans="5:5" ht="15.75" thickBot="1" x14ac:dyDescent="0.3">
      <c r="E907" s="17"/>
    </row>
    <row r="908" spans="5:5" ht="15.75" thickBot="1" x14ac:dyDescent="0.3">
      <c r="E908" s="17"/>
    </row>
    <row r="909" spans="5:5" ht="15.75" thickBot="1" x14ac:dyDescent="0.3">
      <c r="E909" s="17"/>
    </row>
    <row r="910" spans="5:5" ht="15.75" thickBot="1" x14ac:dyDescent="0.3">
      <c r="E910" s="17"/>
    </row>
    <row r="911" spans="5:5" ht="15.75" thickBot="1" x14ac:dyDescent="0.3">
      <c r="E911" s="17"/>
    </row>
    <row r="912" spans="5:5" ht="15.75" thickBot="1" x14ac:dyDescent="0.3">
      <c r="E912" s="17"/>
    </row>
    <row r="913" spans="5:5" ht="15.75" thickBot="1" x14ac:dyDescent="0.3">
      <c r="E913" s="17"/>
    </row>
    <row r="914" spans="5:5" ht="15.75" thickBot="1" x14ac:dyDescent="0.3">
      <c r="E914" s="17"/>
    </row>
    <row r="915" spans="5:5" ht="15.75" thickBot="1" x14ac:dyDescent="0.3">
      <c r="E915" s="17"/>
    </row>
    <row r="916" spans="5:5" ht="15.75" thickBot="1" x14ac:dyDescent="0.3">
      <c r="E916" s="17"/>
    </row>
    <row r="917" spans="5:5" ht="15.75" thickBot="1" x14ac:dyDescent="0.3">
      <c r="E917" s="17"/>
    </row>
    <row r="918" spans="5:5" ht="15.75" thickBot="1" x14ac:dyDescent="0.3">
      <c r="E918" s="17"/>
    </row>
    <row r="919" spans="5:5" ht="15.75" thickBot="1" x14ac:dyDescent="0.3">
      <c r="E919" s="17"/>
    </row>
    <row r="920" spans="5:5" ht="15.75" thickBot="1" x14ac:dyDescent="0.3">
      <c r="E920" s="17"/>
    </row>
    <row r="921" spans="5:5" ht="15.75" thickBot="1" x14ac:dyDescent="0.3">
      <c r="E921" s="17"/>
    </row>
    <row r="922" spans="5:5" ht="15.75" thickBot="1" x14ac:dyDescent="0.3">
      <c r="E922" s="17"/>
    </row>
    <row r="923" spans="5:5" ht="15.75" thickBot="1" x14ac:dyDescent="0.3">
      <c r="E923" s="17"/>
    </row>
    <row r="924" spans="5:5" ht="15.75" thickBot="1" x14ac:dyDescent="0.3">
      <c r="E924" s="17"/>
    </row>
    <row r="925" spans="5:5" ht="15.75" thickBot="1" x14ac:dyDescent="0.3">
      <c r="E925" s="17"/>
    </row>
    <row r="926" spans="5:5" ht="15.75" thickBot="1" x14ac:dyDescent="0.3">
      <c r="E926" s="17"/>
    </row>
    <row r="927" spans="5:5" ht="15.75" thickBot="1" x14ac:dyDescent="0.3">
      <c r="E927" s="17"/>
    </row>
    <row r="928" spans="5:5" ht="15.75" thickBot="1" x14ac:dyDescent="0.3">
      <c r="E928" s="17"/>
    </row>
    <row r="929" spans="5:5" ht="15.75" thickBot="1" x14ac:dyDescent="0.3">
      <c r="E929" s="17"/>
    </row>
    <row r="930" spans="5:5" ht="15.75" thickBot="1" x14ac:dyDescent="0.3">
      <c r="E930" s="17"/>
    </row>
    <row r="931" spans="5:5" ht="15.75" thickBot="1" x14ac:dyDescent="0.3">
      <c r="E931" s="17"/>
    </row>
    <row r="932" spans="5:5" ht="15.75" thickBot="1" x14ac:dyDescent="0.3">
      <c r="E932" s="17"/>
    </row>
    <row r="933" spans="5:5" ht="15.75" thickBot="1" x14ac:dyDescent="0.3">
      <c r="E933" s="17"/>
    </row>
    <row r="934" spans="5:5" ht="15.75" thickBot="1" x14ac:dyDescent="0.3">
      <c r="E934" s="17"/>
    </row>
    <row r="935" spans="5:5" ht="15.75" thickBot="1" x14ac:dyDescent="0.3">
      <c r="E935" s="17"/>
    </row>
    <row r="936" spans="5:5" ht="15.75" thickBot="1" x14ac:dyDescent="0.3">
      <c r="E936" s="17"/>
    </row>
    <row r="937" spans="5:5" ht="15.75" thickBot="1" x14ac:dyDescent="0.3">
      <c r="E937" s="17"/>
    </row>
    <row r="938" spans="5:5" ht="15.75" thickBot="1" x14ac:dyDescent="0.3">
      <c r="E938" s="17"/>
    </row>
    <row r="939" spans="5:5" ht="15.75" thickBot="1" x14ac:dyDescent="0.3">
      <c r="E939" s="17"/>
    </row>
    <row r="940" spans="5:5" ht="15.75" thickBot="1" x14ac:dyDescent="0.3">
      <c r="E940" s="17"/>
    </row>
    <row r="941" spans="5:5" ht="15.75" thickBot="1" x14ac:dyDescent="0.3">
      <c r="E941" s="17"/>
    </row>
    <row r="942" spans="5:5" ht="15.75" thickBot="1" x14ac:dyDescent="0.3">
      <c r="E942" s="17"/>
    </row>
    <row r="943" spans="5:5" ht="15.75" thickBot="1" x14ac:dyDescent="0.3">
      <c r="E943" s="17"/>
    </row>
    <row r="944" spans="5:5" ht="15.75" thickBot="1" x14ac:dyDescent="0.3">
      <c r="E944" s="17"/>
    </row>
    <row r="945" spans="5:5" ht="15.75" thickBot="1" x14ac:dyDescent="0.3">
      <c r="E945" s="17"/>
    </row>
    <row r="946" spans="5:5" ht="15.75" thickBot="1" x14ac:dyDescent="0.3">
      <c r="E946" s="17"/>
    </row>
    <row r="947" spans="5:5" ht="15.75" thickBot="1" x14ac:dyDescent="0.3">
      <c r="E947" s="17"/>
    </row>
    <row r="948" spans="5:5" ht="15.75" thickBot="1" x14ac:dyDescent="0.3">
      <c r="E948" s="17"/>
    </row>
    <row r="949" spans="5:5" ht="15.75" thickBot="1" x14ac:dyDescent="0.3">
      <c r="E949" s="17"/>
    </row>
    <row r="950" spans="5:5" ht="15.75" thickBot="1" x14ac:dyDescent="0.3">
      <c r="E950" s="17"/>
    </row>
    <row r="951" spans="5:5" ht="15.75" thickBot="1" x14ac:dyDescent="0.3">
      <c r="E951" s="17"/>
    </row>
    <row r="952" spans="5:5" ht="15.75" thickBot="1" x14ac:dyDescent="0.3">
      <c r="E952" s="17"/>
    </row>
    <row r="953" spans="5:5" ht="15.75" thickBot="1" x14ac:dyDescent="0.3">
      <c r="E953" s="17"/>
    </row>
    <row r="954" spans="5:5" ht="15.75" thickBot="1" x14ac:dyDescent="0.3">
      <c r="E954" s="17"/>
    </row>
    <row r="955" spans="5:5" ht="15.75" thickBot="1" x14ac:dyDescent="0.3">
      <c r="E955" s="17"/>
    </row>
    <row r="956" spans="5:5" ht="15.75" thickBot="1" x14ac:dyDescent="0.3">
      <c r="E956" s="17"/>
    </row>
    <row r="957" spans="5:5" ht="15.75" thickBot="1" x14ac:dyDescent="0.3">
      <c r="E957" s="17"/>
    </row>
    <row r="958" spans="5:5" ht="15.75" thickBot="1" x14ac:dyDescent="0.3">
      <c r="E958" s="17"/>
    </row>
    <row r="959" spans="5:5" ht="15.75" thickBot="1" x14ac:dyDescent="0.3">
      <c r="E959" s="17"/>
    </row>
    <row r="960" spans="5:5" ht="15.75" thickBot="1" x14ac:dyDescent="0.3">
      <c r="E960" s="17"/>
    </row>
    <row r="961" spans="5:5" ht="15.75" thickBot="1" x14ac:dyDescent="0.3">
      <c r="E961" s="17"/>
    </row>
    <row r="962" spans="5:5" ht="15.75" thickBot="1" x14ac:dyDescent="0.3">
      <c r="E962" s="17"/>
    </row>
    <row r="963" spans="5:5" ht="15.75" thickBot="1" x14ac:dyDescent="0.3">
      <c r="E963" s="17"/>
    </row>
    <row r="964" spans="5:5" ht="15.75" thickBot="1" x14ac:dyDescent="0.3">
      <c r="E964" s="17"/>
    </row>
    <row r="965" spans="5:5" ht="15.75" thickBot="1" x14ac:dyDescent="0.3">
      <c r="E965" s="17"/>
    </row>
    <row r="966" spans="5:5" ht="15.75" thickBot="1" x14ac:dyDescent="0.3">
      <c r="E966" s="17"/>
    </row>
    <row r="967" spans="5:5" ht="15.75" thickBot="1" x14ac:dyDescent="0.3">
      <c r="E967" s="17"/>
    </row>
    <row r="968" spans="5:5" ht="15.75" thickBot="1" x14ac:dyDescent="0.3">
      <c r="E968" s="17"/>
    </row>
    <row r="969" spans="5:5" ht="15.75" thickBot="1" x14ac:dyDescent="0.3">
      <c r="E969" s="17"/>
    </row>
    <row r="970" spans="5:5" ht="15.75" thickBot="1" x14ac:dyDescent="0.3">
      <c r="E970" s="17"/>
    </row>
    <row r="971" spans="5:5" ht="15.75" thickBot="1" x14ac:dyDescent="0.3">
      <c r="E971" s="17"/>
    </row>
    <row r="972" spans="5:5" ht="15.75" thickBot="1" x14ac:dyDescent="0.3">
      <c r="E972" s="17"/>
    </row>
    <row r="973" spans="5:5" ht="15.75" thickBot="1" x14ac:dyDescent="0.3">
      <c r="E973" s="17"/>
    </row>
    <row r="974" spans="5:5" ht="15.75" thickBot="1" x14ac:dyDescent="0.3">
      <c r="E974" s="17"/>
    </row>
    <row r="975" spans="5:5" ht="15.75" thickBot="1" x14ac:dyDescent="0.3">
      <c r="E975" s="17"/>
    </row>
    <row r="976" spans="5:5" ht="15.75" thickBot="1" x14ac:dyDescent="0.3">
      <c r="E976" s="17"/>
    </row>
    <row r="977" spans="5:5" ht="15.75" thickBot="1" x14ac:dyDescent="0.3">
      <c r="E977" s="17"/>
    </row>
    <row r="978" spans="5:5" ht="15.75" thickBot="1" x14ac:dyDescent="0.3">
      <c r="E978" s="17"/>
    </row>
    <row r="979" spans="5:5" ht="15.75" thickBot="1" x14ac:dyDescent="0.3">
      <c r="E979" s="17"/>
    </row>
    <row r="980" spans="5:5" ht="15.75" thickBot="1" x14ac:dyDescent="0.3">
      <c r="E980" s="17"/>
    </row>
    <row r="981" spans="5:5" ht="15.75" thickBot="1" x14ac:dyDescent="0.3">
      <c r="E981" s="17"/>
    </row>
    <row r="982" spans="5:5" ht="15.75" thickBot="1" x14ac:dyDescent="0.3">
      <c r="E982" s="17"/>
    </row>
    <row r="983" spans="5:5" ht="15.75" thickBot="1" x14ac:dyDescent="0.3">
      <c r="E983" s="17"/>
    </row>
    <row r="984" spans="5:5" ht="15.75" thickBot="1" x14ac:dyDescent="0.3">
      <c r="E984" s="17"/>
    </row>
    <row r="985" spans="5:5" ht="15.75" thickBot="1" x14ac:dyDescent="0.3">
      <c r="E985" s="17"/>
    </row>
    <row r="986" spans="5:5" ht="15.75" thickBot="1" x14ac:dyDescent="0.3">
      <c r="E986" s="17"/>
    </row>
    <row r="987" spans="5:5" ht="15.75" thickBot="1" x14ac:dyDescent="0.3">
      <c r="E987" s="17"/>
    </row>
    <row r="988" spans="5:5" ht="15.75" thickBot="1" x14ac:dyDescent="0.3">
      <c r="E988" s="17"/>
    </row>
    <row r="989" spans="5:5" ht="15.75" thickBot="1" x14ac:dyDescent="0.3">
      <c r="E989" s="17"/>
    </row>
    <row r="990" spans="5:5" ht="15.75" thickBot="1" x14ac:dyDescent="0.3">
      <c r="E990" s="17"/>
    </row>
    <row r="991" spans="5:5" ht="15.75" thickBot="1" x14ac:dyDescent="0.3">
      <c r="E991" s="17"/>
    </row>
    <row r="992" spans="5:5" ht="15.75" thickBot="1" x14ac:dyDescent="0.3">
      <c r="E992" s="17"/>
    </row>
    <row r="993" spans="5:5" ht="15.75" thickBot="1" x14ac:dyDescent="0.3">
      <c r="E993" s="17"/>
    </row>
    <row r="994" spans="5:5" ht="15.75" thickBot="1" x14ac:dyDescent="0.3">
      <c r="E994" s="17"/>
    </row>
    <row r="995" spans="5:5" ht="15.75" thickBot="1" x14ac:dyDescent="0.3">
      <c r="E995" s="17"/>
    </row>
    <row r="996" spans="5:5" ht="15.75" thickBot="1" x14ac:dyDescent="0.3">
      <c r="E996" s="17"/>
    </row>
    <row r="997" spans="5:5" ht="15.75" thickBot="1" x14ac:dyDescent="0.3">
      <c r="E997" s="17"/>
    </row>
    <row r="998" spans="5:5" ht="15.75" thickBot="1" x14ac:dyDescent="0.3">
      <c r="E998" s="17"/>
    </row>
    <row r="999" spans="5:5" ht="15.75" thickBot="1" x14ac:dyDescent="0.3">
      <c r="E999" s="17"/>
    </row>
    <row r="1000" spans="5:5" ht="15.75" thickBot="1" x14ac:dyDescent="0.3">
      <c r="E1000" s="17"/>
    </row>
  </sheetData>
  <sortState xmlns:xlrd2="http://schemas.microsoft.com/office/spreadsheetml/2017/richdata2" ref="A2:E1000">
    <sortCondition ref="A2:A1000"/>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32714-2917-4697-AAA4-B1F0141522E0}">
  <dimension ref="A1:E1000"/>
  <sheetViews>
    <sheetView topLeftCell="A48" workbookViewId="0">
      <selection activeCell="A48" sqref="A1:XFD1048576"/>
    </sheetView>
  </sheetViews>
  <sheetFormatPr baseColWidth="10" defaultRowHeight="15" x14ac:dyDescent="0.25"/>
  <cols>
    <col min="1" max="1" width="11.42578125" style="4"/>
    <col min="2" max="2" width="34.28515625" customWidth="1"/>
    <col min="3" max="3" width="21.5703125" style="4" customWidth="1"/>
    <col min="4" max="4" width="18.7109375" customWidth="1"/>
  </cols>
  <sheetData>
    <row r="1" spans="1:5" ht="15.75" thickBot="1" x14ac:dyDescent="0.3">
      <c r="A1" s="7" t="s">
        <v>1067</v>
      </c>
      <c r="B1" s="1" t="s">
        <v>0</v>
      </c>
      <c r="C1" s="1" t="s">
        <v>51</v>
      </c>
      <c r="D1" s="1" t="s">
        <v>52</v>
      </c>
      <c r="E1" s="16" t="s">
        <v>1016</v>
      </c>
    </row>
    <row r="2" spans="1:5" ht="90.75" thickBot="1" x14ac:dyDescent="0.3">
      <c r="A2" s="4">
        <f>_xlfn.XLOOKUP(E2,Orden_preguntas!$B:$B,Orden_preguntas!$A:$A)</f>
        <v>1</v>
      </c>
      <c r="B2" s="2" t="s">
        <v>9</v>
      </c>
      <c r="C2" s="3">
        <v>0.9</v>
      </c>
      <c r="D2" s="2" t="s">
        <v>61</v>
      </c>
      <c r="E2" s="17" t="s">
        <v>1027</v>
      </c>
    </row>
    <row r="3" spans="1:5" ht="90.75" thickBot="1" x14ac:dyDescent="0.3">
      <c r="A3" s="4">
        <f>_xlfn.XLOOKUP(E3,Orden_preguntas!$B:$B,Orden_preguntas!$A:$A)</f>
        <v>2</v>
      </c>
      <c r="B3" s="2" t="s">
        <v>16</v>
      </c>
      <c r="C3" s="3">
        <v>1</v>
      </c>
      <c r="D3" s="2" t="s">
        <v>68</v>
      </c>
      <c r="E3" s="17" t="s">
        <v>1032</v>
      </c>
    </row>
    <row r="4" spans="1:5" ht="105.75" thickBot="1" x14ac:dyDescent="0.3">
      <c r="A4" s="4">
        <f>_xlfn.XLOOKUP(E4,Orden_preguntas!$B:$B,Orden_preguntas!$A:$A)</f>
        <v>3</v>
      </c>
      <c r="B4" s="2" t="s">
        <v>15</v>
      </c>
      <c r="C4" s="3">
        <v>1</v>
      </c>
      <c r="D4" s="2" t="s">
        <v>67</v>
      </c>
      <c r="E4" s="17" t="s">
        <v>1022</v>
      </c>
    </row>
    <row r="5" spans="1:5" ht="105.75" thickBot="1" x14ac:dyDescent="0.3">
      <c r="A5" s="4">
        <f>_xlfn.XLOOKUP(E5,Orden_preguntas!$B:$B,Orden_preguntas!$A:$A)</f>
        <v>4</v>
      </c>
      <c r="B5" s="2" t="s">
        <v>7</v>
      </c>
      <c r="C5" s="3">
        <v>1</v>
      </c>
      <c r="D5" s="2" t="s">
        <v>59</v>
      </c>
      <c r="E5" s="17" t="s">
        <v>1036</v>
      </c>
    </row>
    <row r="6" spans="1:5" ht="105.75" thickBot="1" x14ac:dyDescent="0.3">
      <c r="A6" s="4">
        <f>_xlfn.XLOOKUP(E6,Orden_preguntas!$B:$B,Orden_preguntas!$A:$A)</f>
        <v>5</v>
      </c>
      <c r="B6" s="2" t="s">
        <v>4</v>
      </c>
      <c r="C6" s="3">
        <v>1</v>
      </c>
      <c r="D6" s="2" t="s">
        <v>56</v>
      </c>
      <c r="E6" s="17" t="s">
        <v>1028</v>
      </c>
    </row>
    <row r="7" spans="1:5" ht="90.75" thickBot="1" x14ac:dyDescent="0.3">
      <c r="A7" s="4">
        <f>_xlfn.XLOOKUP(E7,Orden_preguntas!$B:$B,Orden_preguntas!$A:$A)</f>
        <v>6</v>
      </c>
      <c r="B7" s="2" t="s">
        <v>20</v>
      </c>
      <c r="C7" s="3">
        <v>1</v>
      </c>
      <c r="D7" s="2" t="s">
        <v>72</v>
      </c>
      <c r="E7" s="17" t="s">
        <v>1024</v>
      </c>
    </row>
    <row r="8" spans="1:5" ht="120.75" thickBot="1" x14ac:dyDescent="0.3">
      <c r="A8" s="4">
        <f>_xlfn.XLOOKUP(E8,Orden_preguntas!$B:$B,Orden_preguntas!$A:$A)</f>
        <v>7</v>
      </c>
      <c r="B8" s="2" t="s">
        <v>1</v>
      </c>
      <c r="C8" s="3">
        <v>1</v>
      </c>
      <c r="D8" s="2" t="s">
        <v>53</v>
      </c>
      <c r="E8" s="17" t="s">
        <v>1030</v>
      </c>
    </row>
    <row r="9" spans="1:5" ht="105.75" thickBot="1" x14ac:dyDescent="0.3">
      <c r="A9" s="4">
        <f>_xlfn.XLOOKUP(E9,Orden_preguntas!$B:$B,Orden_preguntas!$A:$A)</f>
        <v>8</v>
      </c>
      <c r="B9" s="2" t="s">
        <v>8</v>
      </c>
      <c r="C9" s="3">
        <v>1</v>
      </c>
      <c r="D9" s="2" t="s">
        <v>60</v>
      </c>
      <c r="E9" s="17" t="s">
        <v>1020</v>
      </c>
    </row>
    <row r="10" spans="1:5" ht="90.75" thickBot="1" x14ac:dyDescent="0.3">
      <c r="A10" s="4">
        <f>_xlfn.XLOOKUP(E10,Orden_preguntas!$B:$B,Orden_preguntas!$A:$A)</f>
        <v>9</v>
      </c>
      <c r="B10" s="2" t="s">
        <v>6</v>
      </c>
      <c r="C10" s="3">
        <v>0.9</v>
      </c>
      <c r="D10" s="2" t="s">
        <v>58</v>
      </c>
      <c r="E10" s="17" t="s">
        <v>1034</v>
      </c>
    </row>
    <row r="11" spans="1:5" ht="90.75" thickBot="1" x14ac:dyDescent="0.3">
      <c r="A11" s="4">
        <f>_xlfn.XLOOKUP(E11,Orden_preguntas!$B:$B,Orden_preguntas!$A:$A)</f>
        <v>10</v>
      </c>
      <c r="B11" s="2" t="s">
        <v>10</v>
      </c>
      <c r="C11" s="3">
        <v>0.2</v>
      </c>
      <c r="D11" s="2" t="s">
        <v>62</v>
      </c>
      <c r="E11" s="17" t="s">
        <v>1035</v>
      </c>
    </row>
    <row r="12" spans="1:5" ht="135.75" thickBot="1" x14ac:dyDescent="0.3">
      <c r="A12" s="4">
        <f>_xlfn.XLOOKUP(E12,Orden_preguntas!$B:$B,Orden_preguntas!$A:$A)</f>
        <v>11</v>
      </c>
      <c r="B12" s="2" t="s">
        <v>11</v>
      </c>
      <c r="C12" s="3">
        <v>1</v>
      </c>
      <c r="D12" s="2" t="s">
        <v>63</v>
      </c>
      <c r="E12" s="17" t="s">
        <v>1017</v>
      </c>
    </row>
    <row r="13" spans="1:5" ht="120.75" thickBot="1" x14ac:dyDescent="0.3">
      <c r="A13" s="4">
        <f>_xlfn.XLOOKUP(E13,Orden_preguntas!$B:$B,Orden_preguntas!$A:$A)</f>
        <v>12</v>
      </c>
      <c r="B13" s="2" t="s">
        <v>14</v>
      </c>
      <c r="C13" s="3">
        <v>0.9</v>
      </c>
      <c r="D13" s="2" t="s">
        <v>66</v>
      </c>
      <c r="E13" s="17" t="s">
        <v>1023</v>
      </c>
    </row>
    <row r="14" spans="1:5" ht="135.75" thickBot="1" x14ac:dyDescent="0.3">
      <c r="A14" s="4">
        <f>_xlfn.XLOOKUP(E14,Orden_preguntas!$B:$B,Orden_preguntas!$A:$A)</f>
        <v>13</v>
      </c>
      <c r="B14" s="2" t="s">
        <v>12</v>
      </c>
      <c r="C14" s="3">
        <v>0.9</v>
      </c>
      <c r="D14" s="2" t="s">
        <v>64</v>
      </c>
      <c r="E14" s="17" t="s">
        <v>1033</v>
      </c>
    </row>
    <row r="15" spans="1:5" ht="105.75" thickBot="1" x14ac:dyDescent="0.3">
      <c r="A15" s="4">
        <f>_xlfn.XLOOKUP(E15,Orden_preguntas!$B:$B,Orden_preguntas!$A:$A)</f>
        <v>14</v>
      </c>
      <c r="B15" s="2" t="s">
        <v>17</v>
      </c>
      <c r="C15" s="3">
        <v>0.9</v>
      </c>
      <c r="D15" s="2" t="s">
        <v>69</v>
      </c>
      <c r="E15" s="17" t="s">
        <v>1018</v>
      </c>
    </row>
    <row r="16" spans="1:5" ht="150.75" thickBot="1" x14ac:dyDescent="0.3">
      <c r="A16" s="4">
        <f>_xlfn.XLOOKUP(E16,Orden_preguntas!$B:$B,Orden_preguntas!$A:$A)</f>
        <v>15</v>
      </c>
      <c r="B16" s="2" t="s">
        <v>2</v>
      </c>
      <c r="C16" s="3">
        <v>1</v>
      </c>
      <c r="D16" s="2" t="s">
        <v>54</v>
      </c>
      <c r="E16" s="17" t="s">
        <v>1025</v>
      </c>
    </row>
    <row r="17" spans="1:5" ht="105.75" thickBot="1" x14ac:dyDescent="0.3">
      <c r="A17" s="4">
        <f>_xlfn.XLOOKUP(E17,Orden_preguntas!$B:$B,Orden_preguntas!$A:$A)</f>
        <v>16</v>
      </c>
      <c r="B17" s="2" t="s">
        <v>13</v>
      </c>
      <c r="C17" s="3">
        <v>0.9</v>
      </c>
      <c r="D17" s="2" t="s">
        <v>65</v>
      </c>
      <c r="E17" s="17" t="s">
        <v>1019</v>
      </c>
    </row>
    <row r="18" spans="1:5" ht="75.75" thickBot="1" x14ac:dyDescent="0.3">
      <c r="A18" s="4">
        <f>_xlfn.XLOOKUP(E18,Orden_preguntas!$B:$B,Orden_preguntas!$A:$A)</f>
        <v>17</v>
      </c>
      <c r="B18" s="2" t="s">
        <v>19</v>
      </c>
      <c r="C18" s="3">
        <v>0.2</v>
      </c>
      <c r="D18" s="2" t="s">
        <v>71</v>
      </c>
      <c r="E18" s="17" t="s">
        <v>1026</v>
      </c>
    </row>
    <row r="19" spans="1:5" ht="75.75" thickBot="1" x14ac:dyDescent="0.3">
      <c r="A19" s="4">
        <f>_xlfn.XLOOKUP(E19,Orden_preguntas!$B:$B,Orden_preguntas!$A:$A)</f>
        <v>18</v>
      </c>
      <c r="B19" s="2" t="s">
        <v>18</v>
      </c>
      <c r="C19" s="3">
        <v>0.9</v>
      </c>
      <c r="D19" s="2" t="s">
        <v>70</v>
      </c>
      <c r="E19" s="17" t="s">
        <v>1031</v>
      </c>
    </row>
    <row r="20" spans="1:5" ht="135.75" thickBot="1" x14ac:dyDescent="0.3">
      <c r="A20" s="4">
        <f>_xlfn.XLOOKUP(E20,Orden_preguntas!$B:$B,Orden_preguntas!$A:$A)</f>
        <v>19</v>
      </c>
      <c r="B20" s="2" t="s">
        <v>3</v>
      </c>
      <c r="C20" s="3">
        <v>1</v>
      </c>
      <c r="D20" s="2" t="s">
        <v>55</v>
      </c>
      <c r="E20" s="17" t="s">
        <v>1029</v>
      </c>
    </row>
    <row r="21" spans="1:5" ht="135.75" thickBot="1" x14ac:dyDescent="0.3">
      <c r="A21" s="4">
        <f>_xlfn.XLOOKUP(E21,Orden_preguntas!$B:$B,Orden_preguntas!$A:$A)</f>
        <v>20</v>
      </c>
      <c r="B21" s="2" t="s">
        <v>5</v>
      </c>
      <c r="C21" s="3">
        <v>1</v>
      </c>
      <c r="D21" s="2" t="s">
        <v>57</v>
      </c>
      <c r="E21" s="17" t="s">
        <v>1021</v>
      </c>
    </row>
    <row r="22" spans="1:5" ht="120.75" thickBot="1" x14ac:dyDescent="0.3">
      <c r="A22" s="4">
        <f>_xlfn.XLOOKUP(E22,Orden_preguntas!$B:$B,Orden_preguntas!$A:$A)</f>
        <v>21</v>
      </c>
      <c r="B22" s="2" t="s">
        <v>38</v>
      </c>
      <c r="C22" s="3">
        <v>0.9</v>
      </c>
      <c r="D22" s="2" t="s">
        <v>90</v>
      </c>
      <c r="E22" s="17" t="s">
        <v>1038</v>
      </c>
    </row>
    <row r="23" spans="1:5" ht="150.75" thickBot="1" x14ac:dyDescent="0.3">
      <c r="A23" s="4">
        <f>_xlfn.XLOOKUP(E23,Orden_preguntas!$B:$B,Orden_preguntas!$A:$A)</f>
        <v>22</v>
      </c>
      <c r="B23" s="2" t="s">
        <v>36</v>
      </c>
      <c r="C23" s="3">
        <v>0.6</v>
      </c>
      <c r="D23" s="2" t="s">
        <v>88</v>
      </c>
      <c r="E23" s="17" t="s">
        <v>1048</v>
      </c>
    </row>
    <row r="24" spans="1:5" ht="120.75" thickBot="1" x14ac:dyDescent="0.3">
      <c r="A24" s="4">
        <f>_xlfn.XLOOKUP(E24,Orden_preguntas!$B:$B,Orden_preguntas!$A:$A)</f>
        <v>23</v>
      </c>
      <c r="B24" s="2" t="s">
        <v>21</v>
      </c>
      <c r="C24" s="3">
        <v>1</v>
      </c>
      <c r="D24" s="2" t="s">
        <v>73</v>
      </c>
      <c r="E24" s="17" t="s">
        <v>1056</v>
      </c>
    </row>
    <row r="25" spans="1:5" ht="135.75" thickBot="1" x14ac:dyDescent="0.3">
      <c r="A25" s="4">
        <f>_xlfn.XLOOKUP(E25,Orden_preguntas!$B:$B,Orden_preguntas!$A:$A)</f>
        <v>24</v>
      </c>
      <c r="B25" s="2" t="s">
        <v>27</v>
      </c>
      <c r="C25" s="3">
        <v>1</v>
      </c>
      <c r="D25" s="2" t="s">
        <v>79</v>
      </c>
      <c r="E25" s="17" t="s">
        <v>1037</v>
      </c>
    </row>
    <row r="26" spans="1:5" ht="120.75" thickBot="1" x14ac:dyDescent="0.3">
      <c r="A26" s="4">
        <f>_xlfn.XLOOKUP(E26,Orden_preguntas!$B:$B,Orden_preguntas!$A:$A)</f>
        <v>25</v>
      </c>
      <c r="B26" s="2" t="s">
        <v>23</v>
      </c>
      <c r="C26" s="3">
        <v>1</v>
      </c>
      <c r="D26" s="2" t="s">
        <v>75</v>
      </c>
      <c r="E26" s="17" t="s">
        <v>1039</v>
      </c>
    </row>
    <row r="27" spans="1:5" ht="135.75" thickBot="1" x14ac:dyDescent="0.3">
      <c r="A27" s="4">
        <f>_xlfn.XLOOKUP(E27,Orden_preguntas!$B:$B,Orden_preguntas!$A:$A)</f>
        <v>26</v>
      </c>
      <c r="B27" s="2" t="s">
        <v>28</v>
      </c>
      <c r="C27" s="3">
        <v>1</v>
      </c>
      <c r="D27" s="2" t="s">
        <v>80</v>
      </c>
      <c r="E27" s="17" t="s">
        <v>1041</v>
      </c>
    </row>
    <row r="28" spans="1:5" ht="105.75" thickBot="1" x14ac:dyDescent="0.3">
      <c r="A28" s="4">
        <f>_xlfn.XLOOKUP(E28,Orden_preguntas!$B:$B,Orden_preguntas!$A:$A)</f>
        <v>27</v>
      </c>
      <c r="B28" s="2" t="s">
        <v>30</v>
      </c>
      <c r="C28" s="3">
        <v>1</v>
      </c>
      <c r="D28" s="2" t="s">
        <v>82</v>
      </c>
      <c r="E28" s="17" t="s">
        <v>1040</v>
      </c>
    </row>
    <row r="29" spans="1:5" ht="105.75" thickBot="1" x14ac:dyDescent="0.3">
      <c r="A29" s="4">
        <f>_xlfn.XLOOKUP(E29,Orden_preguntas!$B:$B,Orden_preguntas!$A:$A)</f>
        <v>28</v>
      </c>
      <c r="B29" s="2" t="s">
        <v>43</v>
      </c>
      <c r="C29" s="3">
        <v>0.8</v>
      </c>
      <c r="D29" s="2" t="s">
        <v>95</v>
      </c>
      <c r="E29" s="17" t="s">
        <v>1042</v>
      </c>
    </row>
    <row r="30" spans="1:5" ht="135.75" thickBot="1" x14ac:dyDescent="0.3">
      <c r="A30" s="4">
        <f>_xlfn.XLOOKUP(E30,Orden_preguntas!$B:$B,Orden_preguntas!$A:$A)</f>
        <v>29</v>
      </c>
      <c r="B30" s="2" t="s">
        <v>49</v>
      </c>
      <c r="C30" s="3">
        <v>0.8</v>
      </c>
      <c r="D30" s="2" t="s">
        <v>101</v>
      </c>
      <c r="E30" s="17" t="s">
        <v>1043</v>
      </c>
    </row>
    <row r="31" spans="1:5" ht="150.75" thickBot="1" x14ac:dyDescent="0.3">
      <c r="A31" s="4">
        <f>_xlfn.XLOOKUP(E31,Orden_preguntas!$B:$B,Orden_preguntas!$A:$A)</f>
        <v>30</v>
      </c>
      <c r="B31" s="2" t="s">
        <v>32</v>
      </c>
      <c r="C31" s="3">
        <v>1</v>
      </c>
      <c r="D31" s="2" t="s">
        <v>84</v>
      </c>
      <c r="E31" s="17" t="s">
        <v>1045</v>
      </c>
    </row>
    <row r="32" spans="1:5" ht="150.75" thickBot="1" x14ac:dyDescent="0.3">
      <c r="A32" s="4">
        <f>_xlfn.XLOOKUP(E32,Orden_preguntas!$B:$B,Orden_preguntas!$A:$A)</f>
        <v>31</v>
      </c>
      <c r="B32" s="2" t="s">
        <v>34</v>
      </c>
      <c r="C32" s="3">
        <v>0.9</v>
      </c>
      <c r="D32" s="2" t="s">
        <v>86</v>
      </c>
      <c r="E32" s="17" t="s">
        <v>1051</v>
      </c>
    </row>
    <row r="33" spans="1:5" ht="180.75" thickBot="1" x14ac:dyDescent="0.3">
      <c r="A33" s="4">
        <f>_xlfn.XLOOKUP(E33,Orden_preguntas!$B:$B,Orden_preguntas!$A:$A)</f>
        <v>32</v>
      </c>
      <c r="B33" s="2" t="s">
        <v>22</v>
      </c>
      <c r="C33" s="3">
        <v>1</v>
      </c>
      <c r="D33" s="2" t="s">
        <v>74</v>
      </c>
      <c r="E33" s="17" t="s">
        <v>1047</v>
      </c>
    </row>
    <row r="34" spans="1:5" ht="165.75" thickBot="1" x14ac:dyDescent="0.3">
      <c r="A34" s="4">
        <f>_xlfn.XLOOKUP(E34,Orden_preguntas!$B:$B,Orden_preguntas!$A:$A)</f>
        <v>33</v>
      </c>
      <c r="B34" s="2" t="s">
        <v>29</v>
      </c>
      <c r="C34" s="3">
        <v>0.9</v>
      </c>
      <c r="D34" s="2" t="s">
        <v>81</v>
      </c>
      <c r="E34" s="17" t="s">
        <v>1053</v>
      </c>
    </row>
    <row r="35" spans="1:5" ht="120.75" thickBot="1" x14ac:dyDescent="0.3">
      <c r="A35" s="4">
        <f>_xlfn.XLOOKUP(E35,Orden_preguntas!$B:$B,Orden_preguntas!$A:$A)</f>
        <v>34</v>
      </c>
      <c r="B35" s="2" t="s">
        <v>35</v>
      </c>
      <c r="C35" s="3">
        <v>1</v>
      </c>
      <c r="D35" s="2" t="s">
        <v>87</v>
      </c>
      <c r="E35" s="17" t="s">
        <v>1057</v>
      </c>
    </row>
    <row r="36" spans="1:5" ht="165.75" thickBot="1" x14ac:dyDescent="0.3">
      <c r="A36" s="4">
        <f>_xlfn.XLOOKUP(E36,Orden_preguntas!$B:$B,Orden_preguntas!$A:$A)</f>
        <v>35</v>
      </c>
      <c r="B36" s="2" t="s">
        <v>24</v>
      </c>
      <c r="C36" s="3">
        <v>0.9</v>
      </c>
      <c r="D36" s="2" t="s">
        <v>76</v>
      </c>
      <c r="E36" s="17" t="s">
        <v>1046</v>
      </c>
    </row>
    <row r="37" spans="1:5" ht="135.75" thickBot="1" x14ac:dyDescent="0.3">
      <c r="A37" s="4">
        <f>_xlfn.XLOOKUP(E37,Orden_preguntas!$B:$B,Orden_preguntas!$A:$A)</f>
        <v>36</v>
      </c>
      <c r="B37" s="2" t="s">
        <v>26</v>
      </c>
      <c r="C37" s="3">
        <v>0.9</v>
      </c>
      <c r="D37" s="2" t="s">
        <v>78</v>
      </c>
      <c r="E37" s="17" t="s">
        <v>1049</v>
      </c>
    </row>
    <row r="38" spans="1:5" ht="135.75" thickBot="1" x14ac:dyDescent="0.3">
      <c r="A38" s="4">
        <f>_xlfn.XLOOKUP(E38,Orden_preguntas!$B:$B,Orden_preguntas!$A:$A)</f>
        <v>37</v>
      </c>
      <c r="B38" s="2" t="s">
        <v>33</v>
      </c>
      <c r="C38" s="3">
        <v>0.6</v>
      </c>
      <c r="D38" s="2" t="s">
        <v>85</v>
      </c>
      <c r="E38" s="17" t="s">
        <v>1052</v>
      </c>
    </row>
    <row r="39" spans="1:5" ht="105.75" thickBot="1" x14ac:dyDescent="0.3">
      <c r="A39" s="4">
        <f>_xlfn.XLOOKUP(E39,Orden_preguntas!$B:$B,Orden_preguntas!$A:$A)</f>
        <v>38</v>
      </c>
      <c r="B39" s="2" t="s">
        <v>37</v>
      </c>
      <c r="C39" s="3">
        <v>0.4</v>
      </c>
      <c r="D39" s="2" t="s">
        <v>89</v>
      </c>
      <c r="E39" s="17" t="s">
        <v>1044</v>
      </c>
    </row>
    <row r="40" spans="1:5" ht="165.75" thickBot="1" x14ac:dyDescent="0.3">
      <c r="A40" s="4">
        <f>_xlfn.XLOOKUP(E40,Orden_preguntas!$B:$B,Orden_preguntas!$A:$A)</f>
        <v>39</v>
      </c>
      <c r="B40" s="2" t="s">
        <v>31</v>
      </c>
      <c r="C40" s="3">
        <v>1</v>
      </c>
      <c r="D40" s="2" t="s">
        <v>83</v>
      </c>
      <c r="E40" s="17" t="s">
        <v>1055</v>
      </c>
    </row>
    <row r="41" spans="1:5" ht="165.75" thickBot="1" x14ac:dyDescent="0.3">
      <c r="A41" s="4">
        <f>_xlfn.XLOOKUP(E41,Orden_preguntas!$B:$B,Orden_preguntas!$A:$A)</f>
        <v>40</v>
      </c>
      <c r="B41" s="2" t="s">
        <v>25</v>
      </c>
      <c r="C41" s="3">
        <v>1</v>
      </c>
      <c r="D41" s="2" t="s">
        <v>77</v>
      </c>
      <c r="E41" s="17" t="s">
        <v>1050</v>
      </c>
    </row>
    <row r="42" spans="1:5" ht="225.75" thickBot="1" x14ac:dyDescent="0.3">
      <c r="A42" s="4">
        <f>_xlfn.XLOOKUP(E42,Orden_preguntas!$B:$B,Orden_preguntas!$A:$A)</f>
        <v>41</v>
      </c>
      <c r="B42" s="2" t="s">
        <v>46</v>
      </c>
      <c r="C42" s="3">
        <v>1</v>
      </c>
      <c r="D42" s="2" t="s">
        <v>98</v>
      </c>
      <c r="E42" s="17" t="s">
        <v>1054</v>
      </c>
    </row>
    <row r="43" spans="1:5" ht="165.75" thickBot="1" x14ac:dyDescent="0.3">
      <c r="A43" s="4">
        <f>_xlfn.XLOOKUP(E43,Orden_preguntas!$B:$B,Orden_preguntas!$A:$A)</f>
        <v>42</v>
      </c>
      <c r="B43" s="2" t="s">
        <v>41</v>
      </c>
      <c r="C43" s="3">
        <v>1</v>
      </c>
      <c r="D43" s="2" t="s">
        <v>93</v>
      </c>
      <c r="E43" s="17" t="s">
        <v>1065</v>
      </c>
    </row>
    <row r="44" spans="1:5" ht="165.75" thickBot="1" x14ac:dyDescent="0.3">
      <c r="A44" s="4">
        <f>_xlfn.XLOOKUP(E44,Orden_preguntas!$B:$B,Orden_preguntas!$A:$A)</f>
        <v>43</v>
      </c>
      <c r="B44" s="2" t="s">
        <v>42</v>
      </c>
      <c r="C44" s="3">
        <v>1</v>
      </c>
      <c r="D44" s="2" t="s">
        <v>94</v>
      </c>
      <c r="E44" s="17" t="s">
        <v>1059</v>
      </c>
    </row>
    <row r="45" spans="1:5" ht="135.75" thickBot="1" x14ac:dyDescent="0.3">
      <c r="A45" s="4">
        <f>_xlfn.XLOOKUP(E45,Orden_preguntas!$B:$B,Orden_preguntas!$A:$A)</f>
        <v>44</v>
      </c>
      <c r="B45" s="2" t="s">
        <v>44</v>
      </c>
      <c r="C45" s="3">
        <v>1</v>
      </c>
      <c r="D45" s="2" t="s">
        <v>96</v>
      </c>
      <c r="E45" s="17" t="s">
        <v>1058</v>
      </c>
    </row>
    <row r="46" spans="1:5" ht="150.75" thickBot="1" x14ac:dyDescent="0.3">
      <c r="A46" s="4">
        <f>_xlfn.XLOOKUP(E46,Orden_preguntas!$B:$B,Orden_preguntas!$A:$A)</f>
        <v>45</v>
      </c>
      <c r="B46" s="2" t="s">
        <v>48</v>
      </c>
      <c r="C46" s="3">
        <v>0.6</v>
      </c>
      <c r="D46" s="2" t="s">
        <v>100</v>
      </c>
      <c r="E46" s="17" t="s">
        <v>1061</v>
      </c>
    </row>
    <row r="47" spans="1:5" ht="105.75" thickBot="1" x14ac:dyDescent="0.3">
      <c r="A47" s="4">
        <f>_xlfn.XLOOKUP(E47,Orden_preguntas!$B:$B,Orden_preguntas!$A:$A)</f>
        <v>46</v>
      </c>
      <c r="B47" s="2" t="s">
        <v>39</v>
      </c>
      <c r="C47" s="3">
        <v>1</v>
      </c>
      <c r="D47" s="2" t="s">
        <v>91</v>
      </c>
      <c r="E47" s="17" t="s">
        <v>1060</v>
      </c>
    </row>
    <row r="48" spans="1:5" ht="135.75" thickBot="1" x14ac:dyDescent="0.3">
      <c r="A48" s="4">
        <f>_xlfn.XLOOKUP(E48,Orden_preguntas!$B:$B,Orden_preguntas!$A:$A)</f>
        <v>47</v>
      </c>
      <c r="B48" s="2" t="s">
        <v>47</v>
      </c>
      <c r="C48" s="3">
        <v>0.6</v>
      </c>
      <c r="D48" s="2" t="s">
        <v>99</v>
      </c>
      <c r="E48" s="17" t="s">
        <v>1062</v>
      </c>
    </row>
    <row r="49" spans="1:5" ht="165.75" thickBot="1" x14ac:dyDescent="0.3">
      <c r="A49" s="4">
        <f>_xlfn.XLOOKUP(E49,Orden_preguntas!$B:$B,Orden_preguntas!$A:$A)</f>
        <v>48</v>
      </c>
      <c r="B49" s="2" t="s">
        <v>50</v>
      </c>
      <c r="C49" s="3">
        <v>0.4</v>
      </c>
      <c r="D49" s="2" t="s">
        <v>102</v>
      </c>
      <c r="E49" s="17" t="s">
        <v>1066</v>
      </c>
    </row>
    <row r="50" spans="1:5" ht="195.75" thickBot="1" x14ac:dyDescent="0.3">
      <c r="A50" s="4">
        <f>_xlfn.XLOOKUP(E50,Orden_preguntas!$B:$B,Orden_preguntas!$A:$A)</f>
        <v>49</v>
      </c>
      <c r="B50" s="2" t="s">
        <v>40</v>
      </c>
      <c r="C50" s="3">
        <v>1</v>
      </c>
      <c r="D50" s="2" t="s">
        <v>92</v>
      </c>
      <c r="E50" s="17" t="s">
        <v>1063</v>
      </c>
    </row>
    <row r="51" spans="1:5" ht="210.75" thickBot="1" x14ac:dyDescent="0.3">
      <c r="A51" s="4">
        <f>_xlfn.XLOOKUP(E51,Orden_preguntas!$B:$B,Orden_preguntas!$A:$A)</f>
        <v>50</v>
      </c>
      <c r="B51" s="2" t="s">
        <v>45</v>
      </c>
      <c r="C51" s="3">
        <v>0.6</v>
      </c>
      <c r="D51" s="2" t="s">
        <v>97</v>
      </c>
      <c r="E51" s="17" t="s">
        <v>1064</v>
      </c>
    </row>
    <row r="52" spans="1:5" ht="15.75" thickBot="1" x14ac:dyDescent="0.3">
      <c r="E52" s="17"/>
    </row>
    <row r="53" spans="1:5" ht="15.75" thickBot="1" x14ac:dyDescent="0.3">
      <c r="E53" s="17"/>
    </row>
    <row r="54" spans="1:5" ht="15.75" thickBot="1" x14ac:dyDescent="0.3">
      <c r="E54" s="17"/>
    </row>
    <row r="55" spans="1:5" ht="15.75" thickBot="1" x14ac:dyDescent="0.3">
      <c r="E55" s="17"/>
    </row>
    <row r="56" spans="1:5" ht="15.75" thickBot="1" x14ac:dyDescent="0.3">
      <c r="E56" s="17"/>
    </row>
    <row r="57" spans="1:5" ht="15.75" thickBot="1" x14ac:dyDescent="0.3">
      <c r="E57" s="17"/>
    </row>
    <row r="58" spans="1:5" ht="15.75" thickBot="1" x14ac:dyDescent="0.3">
      <c r="E58" s="17"/>
    </row>
    <row r="59" spans="1:5" ht="15.75" thickBot="1" x14ac:dyDescent="0.3">
      <c r="E59" s="17"/>
    </row>
    <row r="60" spans="1:5" ht="15.75" thickBot="1" x14ac:dyDescent="0.3">
      <c r="E60" s="17"/>
    </row>
    <row r="61" spans="1:5" ht="15.75" thickBot="1" x14ac:dyDescent="0.3">
      <c r="E61" s="17"/>
    </row>
    <row r="62" spans="1:5" ht="15.75" thickBot="1" x14ac:dyDescent="0.3">
      <c r="E62" s="17"/>
    </row>
    <row r="63" spans="1:5" ht="15.75" thickBot="1" x14ac:dyDescent="0.3">
      <c r="E63" s="17"/>
    </row>
    <row r="64" spans="1:5" ht="15.75" thickBot="1" x14ac:dyDescent="0.3">
      <c r="E64" s="17"/>
    </row>
    <row r="65" spans="5:5" ht="15.75" thickBot="1" x14ac:dyDescent="0.3">
      <c r="E65" s="17"/>
    </row>
    <row r="66" spans="5:5" ht="15.75" thickBot="1" x14ac:dyDescent="0.3">
      <c r="E66" s="17"/>
    </row>
    <row r="67" spans="5:5" ht="15.75" thickBot="1" x14ac:dyDescent="0.3">
      <c r="E67" s="17"/>
    </row>
    <row r="68" spans="5:5" ht="15.75" thickBot="1" x14ac:dyDescent="0.3">
      <c r="E68" s="17"/>
    </row>
    <row r="69" spans="5:5" ht="15.75" thickBot="1" x14ac:dyDescent="0.3">
      <c r="E69" s="17"/>
    </row>
    <row r="70" spans="5:5" ht="15.75" thickBot="1" x14ac:dyDescent="0.3">
      <c r="E70" s="17"/>
    </row>
    <row r="71" spans="5:5" ht="15.75" thickBot="1" x14ac:dyDescent="0.3">
      <c r="E71" s="17"/>
    </row>
    <row r="72" spans="5:5" ht="15.75" thickBot="1" x14ac:dyDescent="0.3">
      <c r="E72" s="17"/>
    </row>
    <row r="73" spans="5:5" ht="15.75" thickBot="1" x14ac:dyDescent="0.3">
      <c r="E73" s="17"/>
    </row>
    <row r="74" spans="5:5" ht="15.75" thickBot="1" x14ac:dyDescent="0.3">
      <c r="E74" s="17"/>
    </row>
    <row r="75" spans="5:5" ht="15.75" thickBot="1" x14ac:dyDescent="0.3">
      <c r="E75" s="17"/>
    </row>
    <row r="76" spans="5:5" ht="15.75" thickBot="1" x14ac:dyDescent="0.3">
      <c r="E76" s="17"/>
    </row>
    <row r="77" spans="5:5" ht="15.75" thickBot="1" x14ac:dyDescent="0.3">
      <c r="E77" s="17"/>
    </row>
    <row r="78" spans="5:5" ht="15.75" thickBot="1" x14ac:dyDescent="0.3">
      <c r="E78" s="17"/>
    </row>
    <row r="79" spans="5:5" ht="15.75" thickBot="1" x14ac:dyDescent="0.3">
      <c r="E79" s="17"/>
    </row>
    <row r="80" spans="5:5" ht="15.75" thickBot="1" x14ac:dyDescent="0.3">
      <c r="E80" s="17"/>
    </row>
    <row r="81" spans="5:5" ht="15.75" thickBot="1" x14ac:dyDescent="0.3">
      <c r="E81" s="17"/>
    </row>
    <row r="82" spans="5:5" ht="15.75" thickBot="1" x14ac:dyDescent="0.3">
      <c r="E82" s="17"/>
    </row>
    <row r="83" spans="5:5" ht="15.75" thickBot="1" x14ac:dyDescent="0.3">
      <c r="E83" s="17"/>
    </row>
    <row r="84" spans="5:5" ht="15.75" thickBot="1" x14ac:dyDescent="0.3">
      <c r="E84" s="17"/>
    </row>
    <row r="85" spans="5:5" ht="15.75" thickBot="1" x14ac:dyDescent="0.3">
      <c r="E85" s="17"/>
    </row>
    <row r="86" spans="5:5" ht="15.75" thickBot="1" x14ac:dyDescent="0.3">
      <c r="E86" s="17"/>
    </row>
    <row r="87" spans="5:5" ht="15.75" thickBot="1" x14ac:dyDescent="0.3">
      <c r="E87" s="17"/>
    </row>
    <row r="88" spans="5:5" ht="15.75" thickBot="1" x14ac:dyDescent="0.3">
      <c r="E88" s="17"/>
    </row>
    <row r="89" spans="5:5" ht="15.75" thickBot="1" x14ac:dyDescent="0.3">
      <c r="E89" s="17"/>
    </row>
    <row r="90" spans="5:5" ht="15.75" thickBot="1" x14ac:dyDescent="0.3">
      <c r="E90" s="17"/>
    </row>
    <row r="91" spans="5:5" ht="15.75" thickBot="1" x14ac:dyDescent="0.3">
      <c r="E91" s="17"/>
    </row>
    <row r="92" spans="5:5" ht="15.75" thickBot="1" x14ac:dyDescent="0.3">
      <c r="E92" s="17"/>
    </row>
    <row r="93" spans="5:5" ht="15.75" thickBot="1" x14ac:dyDescent="0.3">
      <c r="E93" s="17"/>
    </row>
    <row r="94" spans="5:5" ht="15.75" thickBot="1" x14ac:dyDescent="0.3">
      <c r="E94" s="17"/>
    </row>
    <row r="95" spans="5:5" ht="15.75" thickBot="1" x14ac:dyDescent="0.3">
      <c r="E95" s="17"/>
    </row>
    <row r="96" spans="5:5" ht="15.75" thickBot="1" x14ac:dyDescent="0.3">
      <c r="E96" s="17"/>
    </row>
    <row r="97" spans="5:5" ht="15.75" thickBot="1" x14ac:dyDescent="0.3">
      <c r="E97" s="17"/>
    </row>
    <row r="98" spans="5:5" ht="15.75" thickBot="1" x14ac:dyDescent="0.3">
      <c r="E98" s="17"/>
    </row>
    <row r="99" spans="5:5" ht="15.75" thickBot="1" x14ac:dyDescent="0.3">
      <c r="E99" s="17"/>
    </row>
    <row r="100" spans="5:5" ht="15.75" thickBot="1" x14ac:dyDescent="0.3">
      <c r="E100" s="17"/>
    </row>
    <row r="101" spans="5:5" ht="15.75" thickBot="1" x14ac:dyDescent="0.3">
      <c r="E101" s="17"/>
    </row>
    <row r="102" spans="5:5" ht="15.75" thickBot="1" x14ac:dyDescent="0.3">
      <c r="E102" s="17"/>
    </row>
    <row r="103" spans="5:5" ht="15.75" thickBot="1" x14ac:dyDescent="0.3">
      <c r="E103" s="17"/>
    </row>
    <row r="104" spans="5:5" ht="15.75" thickBot="1" x14ac:dyDescent="0.3">
      <c r="E104" s="17"/>
    </row>
    <row r="105" spans="5:5" ht="15.75" thickBot="1" x14ac:dyDescent="0.3">
      <c r="E105" s="17"/>
    </row>
    <row r="106" spans="5:5" ht="15.75" thickBot="1" x14ac:dyDescent="0.3">
      <c r="E106" s="17"/>
    </row>
    <row r="107" spans="5:5" ht="15.75" thickBot="1" x14ac:dyDescent="0.3">
      <c r="E107" s="17"/>
    </row>
    <row r="108" spans="5:5" ht="15.75" thickBot="1" x14ac:dyDescent="0.3">
      <c r="E108" s="17"/>
    </row>
    <row r="109" spans="5:5" ht="15.75" thickBot="1" x14ac:dyDescent="0.3">
      <c r="E109" s="17"/>
    </row>
    <row r="110" spans="5:5" ht="15.75" thickBot="1" x14ac:dyDescent="0.3">
      <c r="E110" s="17"/>
    </row>
    <row r="111" spans="5:5" ht="15.75" thickBot="1" x14ac:dyDescent="0.3">
      <c r="E111" s="17"/>
    </row>
    <row r="112" spans="5:5" ht="15.75" thickBot="1" x14ac:dyDescent="0.3">
      <c r="E112" s="17"/>
    </row>
    <row r="113" spans="5:5" ht="15.75" thickBot="1" x14ac:dyDescent="0.3">
      <c r="E113" s="17"/>
    </row>
    <row r="114" spans="5:5" ht="15.75" thickBot="1" x14ac:dyDescent="0.3">
      <c r="E114" s="17"/>
    </row>
    <row r="115" spans="5:5" ht="15.75" thickBot="1" x14ac:dyDescent="0.3">
      <c r="E115" s="17"/>
    </row>
    <row r="116" spans="5:5" ht="15.75" thickBot="1" x14ac:dyDescent="0.3">
      <c r="E116" s="17"/>
    </row>
    <row r="117" spans="5:5" ht="15.75" thickBot="1" x14ac:dyDescent="0.3">
      <c r="E117" s="17"/>
    </row>
    <row r="118" spans="5:5" ht="15.75" thickBot="1" x14ac:dyDescent="0.3">
      <c r="E118" s="17"/>
    </row>
    <row r="119" spans="5:5" ht="15.75" thickBot="1" x14ac:dyDescent="0.3">
      <c r="E119" s="17"/>
    </row>
    <row r="120" spans="5:5" ht="15.75" thickBot="1" x14ac:dyDescent="0.3">
      <c r="E120" s="17"/>
    </row>
    <row r="121" spans="5:5" ht="15.75" thickBot="1" x14ac:dyDescent="0.3">
      <c r="E121" s="17"/>
    </row>
    <row r="122" spans="5:5" ht="15.75" thickBot="1" x14ac:dyDescent="0.3">
      <c r="E122" s="17"/>
    </row>
    <row r="123" spans="5:5" ht="15.75" thickBot="1" x14ac:dyDescent="0.3">
      <c r="E123" s="17"/>
    </row>
    <row r="124" spans="5:5" ht="15.75" thickBot="1" x14ac:dyDescent="0.3">
      <c r="E124" s="17"/>
    </row>
    <row r="125" spans="5:5" ht="15.75" thickBot="1" x14ac:dyDescent="0.3">
      <c r="E125" s="17"/>
    </row>
    <row r="126" spans="5:5" ht="15.75" thickBot="1" x14ac:dyDescent="0.3">
      <c r="E126" s="17"/>
    </row>
    <row r="127" spans="5:5" ht="15.75" thickBot="1" x14ac:dyDescent="0.3">
      <c r="E127" s="17"/>
    </row>
    <row r="128" spans="5:5" ht="15.75" thickBot="1" x14ac:dyDescent="0.3">
      <c r="E128" s="17"/>
    </row>
    <row r="129" spans="5:5" ht="15.75" thickBot="1" x14ac:dyDescent="0.3">
      <c r="E129" s="17"/>
    </row>
    <row r="130" spans="5:5" ht="15.75" thickBot="1" x14ac:dyDescent="0.3">
      <c r="E130" s="17"/>
    </row>
    <row r="131" spans="5:5" ht="15.75" thickBot="1" x14ac:dyDescent="0.3">
      <c r="E131" s="17"/>
    </row>
    <row r="132" spans="5:5" ht="15.75" thickBot="1" x14ac:dyDescent="0.3">
      <c r="E132" s="17"/>
    </row>
    <row r="133" spans="5:5" ht="15.75" thickBot="1" x14ac:dyDescent="0.3">
      <c r="E133" s="17"/>
    </row>
    <row r="134" spans="5:5" ht="15.75" thickBot="1" x14ac:dyDescent="0.3">
      <c r="E134" s="17"/>
    </row>
    <row r="135" spans="5:5" ht="15.75" thickBot="1" x14ac:dyDescent="0.3">
      <c r="E135" s="17"/>
    </row>
    <row r="136" spans="5:5" ht="15.75" thickBot="1" x14ac:dyDescent="0.3">
      <c r="E136" s="17"/>
    </row>
    <row r="137" spans="5:5" ht="15.75" thickBot="1" x14ac:dyDescent="0.3">
      <c r="E137" s="17"/>
    </row>
    <row r="138" spans="5:5" ht="15.75" thickBot="1" x14ac:dyDescent="0.3">
      <c r="E138" s="17"/>
    </row>
    <row r="139" spans="5:5" ht="15.75" thickBot="1" x14ac:dyDescent="0.3">
      <c r="E139" s="17"/>
    </row>
    <row r="140" spans="5:5" ht="15.75" thickBot="1" x14ac:dyDescent="0.3">
      <c r="E140" s="17"/>
    </row>
    <row r="141" spans="5:5" ht="15.75" thickBot="1" x14ac:dyDescent="0.3">
      <c r="E141" s="17"/>
    </row>
    <row r="142" spans="5:5" ht="15.75" thickBot="1" x14ac:dyDescent="0.3">
      <c r="E142" s="17"/>
    </row>
    <row r="143" spans="5:5" ht="15.75" thickBot="1" x14ac:dyDescent="0.3">
      <c r="E143" s="17"/>
    </row>
    <row r="144" spans="5:5" ht="15.75" thickBot="1" x14ac:dyDescent="0.3">
      <c r="E144" s="17"/>
    </row>
    <row r="145" spans="5:5" ht="15.75" thickBot="1" x14ac:dyDescent="0.3">
      <c r="E145" s="17"/>
    </row>
    <row r="146" spans="5:5" ht="15.75" thickBot="1" x14ac:dyDescent="0.3">
      <c r="E146" s="17"/>
    </row>
    <row r="147" spans="5:5" ht="15.75" thickBot="1" x14ac:dyDescent="0.3">
      <c r="E147" s="17"/>
    </row>
    <row r="148" spans="5:5" ht="15.75" thickBot="1" x14ac:dyDescent="0.3">
      <c r="E148" s="17"/>
    </row>
    <row r="149" spans="5:5" ht="15.75" thickBot="1" x14ac:dyDescent="0.3">
      <c r="E149" s="17"/>
    </row>
    <row r="150" spans="5:5" ht="15.75" thickBot="1" x14ac:dyDescent="0.3">
      <c r="E150" s="17"/>
    </row>
    <row r="151" spans="5:5" ht="15.75" thickBot="1" x14ac:dyDescent="0.3">
      <c r="E151" s="17"/>
    </row>
    <row r="152" spans="5:5" ht="15.75" thickBot="1" x14ac:dyDescent="0.3">
      <c r="E152" s="17"/>
    </row>
    <row r="153" spans="5:5" ht="15.75" thickBot="1" x14ac:dyDescent="0.3">
      <c r="E153" s="17"/>
    </row>
    <row r="154" spans="5:5" ht="15.75" thickBot="1" x14ac:dyDescent="0.3">
      <c r="E154" s="17"/>
    </row>
    <row r="155" spans="5:5" ht="15.75" thickBot="1" x14ac:dyDescent="0.3">
      <c r="E155" s="17"/>
    </row>
    <row r="156" spans="5:5" ht="15.75" thickBot="1" x14ac:dyDescent="0.3">
      <c r="E156" s="17"/>
    </row>
    <row r="157" spans="5:5" ht="15.75" thickBot="1" x14ac:dyDescent="0.3">
      <c r="E157" s="17"/>
    </row>
    <row r="158" spans="5:5" ht="15.75" thickBot="1" x14ac:dyDescent="0.3">
      <c r="E158" s="17"/>
    </row>
    <row r="159" spans="5:5" ht="15.75" thickBot="1" x14ac:dyDescent="0.3">
      <c r="E159" s="17"/>
    </row>
    <row r="160" spans="5:5" ht="15.75" thickBot="1" x14ac:dyDescent="0.3">
      <c r="E160" s="17"/>
    </row>
    <row r="161" spans="5:5" ht="15.75" thickBot="1" x14ac:dyDescent="0.3">
      <c r="E161" s="17"/>
    </row>
    <row r="162" spans="5:5" ht="15.75" thickBot="1" x14ac:dyDescent="0.3">
      <c r="E162" s="17"/>
    </row>
    <row r="163" spans="5:5" ht="15.75" thickBot="1" x14ac:dyDescent="0.3">
      <c r="E163" s="17"/>
    </row>
    <row r="164" spans="5:5" ht="15.75" thickBot="1" x14ac:dyDescent="0.3">
      <c r="E164" s="17"/>
    </row>
    <row r="165" spans="5:5" ht="15.75" thickBot="1" x14ac:dyDescent="0.3">
      <c r="E165" s="17"/>
    </row>
    <row r="166" spans="5:5" ht="15.75" thickBot="1" x14ac:dyDescent="0.3">
      <c r="E166" s="17"/>
    </row>
    <row r="167" spans="5:5" ht="15.75" thickBot="1" x14ac:dyDescent="0.3">
      <c r="E167" s="17"/>
    </row>
    <row r="168" spans="5:5" ht="15.75" thickBot="1" x14ac:dyDescent="0.3">
      <c r="E168" s="17"/>
    </row>
    <row r="169" spans="5:5" ht="15.75" thickBot="1" x14ac:dyDescent="0.3">
      <c r="E169" s="17"/>
    </row>
    <row r="170" spans="5:5" ht="15.75" thickBot="1" x14ac:dyDescent="0.3">
      <c r="E170" s="17"/>
    </row>
    <row r="171" spans="5:5" ht="15.75" thickBot="1" x14ac:dyDescent="0.3">
      <c r="E171" s="17"/>
    </row>
    <row r="172" spans="5:5" ht="15.75" thickBot="1" x14ac:dyDescent="0.3">
      <c r="E172" s="17"/>
    </row>
    <row r="173" spans="5:5" ht="15.75" thickBot="1" x14ac:dyDescent="0.3">
      <c r="E173" s="17"/>
    </row>
    <row r="174" spans="5:5" ht="15.75" thickBot="1" x14ac:dyDescent="0.3">
      <c r="E174" s="17"/>
    </row>
    <row r="175" spans="5:5" ht="15.75" thickBot="1" x14ac:dyDescent="0.3">
      <c r="E175" s="17"/>
    </row>
    <row r="176" spans="5:5" ht="15.75" thickBot="1" x14ac:dyDescent="0.3">
      <c r="E176" s="17"/>
    </row>
    <row r="177" spans="5:5" ht="15.75" thickBot="1" x14ac:dyDescent="0.3">
      <c r="E177" s="17"/>
    </row>
    <row r="178" spans="5:5" ht="15.75" thickBot="1" x14ac:dyDescent="0.3">
      <c r="E178" s="17"/>
    </row>
    <row r="179" spans="5:5" ht="15.75" thickBot="1" x14ac:dyDescent="0.3">
      <c r="E179" s="17"/>
    </row>
    <row r="180" spans="5:5" ht="15.75" thickBot="1" x14ac:dyDescent="0.3">
      <c r="E180" s="17"/>
    </row>
    <row r="181" spans="5:5" ht="15.75" thickBot="1" x14ac:dyDescent="0.3">
      <c r="E181" s="17"/>
    </row>
    <row r="182" spans="5:5" ht="15.75" thickBot="1" x14ac:dyDescent="0.3">
      <c r="E182" s="17"/>
    </row>
    <row r="183" spans="5:5" ht="15.75" thickBot="1" x14ac:dyDescent="0.3">
      <c r="E183" s="17"/>
    </row>
    <row r="184" spans="5:5" ht="15.75" thickBot="1" x14ac:dyDescent="0.3">
      <c r="E184" s="17"/>
    </row>
    <row r="185" spans="5:5" ht="15.75" thickBot="1" x14ac:dyDescent="0.3">
      <c r="E185" s="17"/>
    </row>
    <row r="186" spans="5:5" ht="15.75" thickBot="1" x14ac:dyDescent="0.3">
      <c r="E186" s="17"/>
    </row>
    <row r="187" spans="5:5" ht="15.75" thickBot="1" x14ac:dyDescent="0.3">
      <c r="E187" s="17"/>
    </row>
    <row r="188" spans="5:5" ht="15.75" thickBot="1" x14ac:dyDescent="0.3">
      <c r="E188" s="17"/>
    </row>
    <row r="189" spans="5:5" ht="15.75" thickBot="1" x14ac:dyDescent="0.3">
      <c r="E189" s="17"/>
    </row>
    <row r="190" spans="5:5" ht="15.75" thickBot="1" x14ac:dyDescent="0.3">
      <c r="E190" s="17"/>
    </row>
    <row r="191" spans="5:5" ht="15.75" thickBot="1" x14ac:dyDescent="0.3">
      <c r="E191" s="17"/>
    </row>
    <row r="192" spans="5:5" ht="15.75" thickBot="1" x14ac:dyDescent="0.3">
      <c r="E192" s="17"/>
    </row>
    <row r="193" spans="5:5" ht="15.75" thickBot="1" x14ac:dyDescent="0.3">
      <c r="E193" s="17"/>
    </row>
    <row r="194" spans="5:5" ht="15.75" thickBot="1" x14ac:dyDescent="0.3">
      <c r="E194" s="17"/>
    </row>
    <row r="195" spans="5:5" ht="15.75" thickBot="1" x14ac:dyDescent="0.3">
      <c r="E195" s="17"/>
    </row>
    <row r="196" spans="5:5" ht="15.75" thickBot="1" x14ac:dyDescent="0.3">
      <c r="E196" s="17"/>
    </row>
    <row r="197" spans="5:5" ht="15.75" thickBot="1" x14ac:dyDescent="0.3">
      <c r="E197" s="17"/>
    </row>
    <row r="198" spans="5:5" ht="15.75" thickBot="1" x14ac:dyDescent="0.3">
      <c r="E198" s="17"/>
    </row>
    <row r="199" spans="5:5" ht="15.75" thickBot="1" x14ac:dyDescent="0.3">
      <c r="E199" s="17"/>
    </row>
    <row r="200" spans="5:5" ht="15.75" thickBot="1" x14ac:dyDescent="0.3">
      <c r="E200" s="17"/>
    </row>
    <row r="201" spans="5:5" ht="15.75" thickBot="1" x14ac:dyDescent="0.3">
      <c r="E201" s="17"/>
    </row>
    <row r="202" spans="5:5" ht="15.75" thickBot="1" x14ac:dyDescent="0.3">
      <c r="E202" s="17"/>
    </row>
    <row r="203" spans="5:5" ht="15.75" thickBot="1" x14ac:dyDescent="0.3">
      <c r="E203" s="17"/>
    </row>
    <row r="204" spans="5:5" ht="15.75" thickBot="1" x14ac:dyDescent="0.3">
      <c r="E204" s="17"/>
    </row>
    <row r="205" spans="5:5" ht="15.75" thickBot="1" x14ac:dyDescent="0.3">
      <c r="E205" s="17"/>
    </row>
    <row r="206" spans="5:5" ht="15.75" thickBot="1" x14ac:dyDescent="0.3">
      <c r="E206" s="17"/>
    </row>
    <row r="207" spans="5:5" ht="15.75" thickBot="1" x14ac:dyDescent="0.3">
      <c r="E207" s="17"/>
    </row>
    <row r="208" spans="5:5" ht="15.75" thickBot="1" x14ac:dyDescent="0.3">
      <c r="E208" s="17"/>
    </row>
    <row r="209" spans="5:5" ht="15.75" thickBot="1" x14ac:dyDescent="0.3">
      <c r="E209" s="17"/>
    </row>
    <row r="210" spans="5:5" ht="15.75" thickBot="1" x14ac:dyDescent="0.3">
      <c r="E210" s="17"/>
    </row>
    <row r="211" spans="5:5" ht="15.75" thickBot="1" x14ac:dyDescent="0.3">
      <c r="E211" s="17"/>
    </row>
    <row r="212" spans="5:5" ht="15.75" thickBot="1" x14ac:dyDescent="0.3">
      <c r="E212" s="17"/>
    </row>
    <row r="213" spans="5:5" ht="15.75" thickBot="1" x14ac:dyDescent="0.3">
      <c r="E213" s="17"/>
    </row>
    <row r="214" spans="5:5" ht="15.75" thickBot="1" x14ac:dyDescent="0.3">
      <c r="E214" s="17"/>
    </row>
    <row r="215" spans="5:5" ht="15.75" thickBot="1" x14ac:dyDescent="0.3">
      <c r="E215" s="17"/>
    </row>
    <row r="216" spans="5:5" ht="15.75" thickBot="1" x14ac:dyDescent="0.3">
      <c r="E216" s="17"/>
    </row>
    <row r="217" spans="5:5" ht="15.75" thickBot="1" x14ac:dyDescent="0.3">
      <c r="E217" s="17"/>
    </row>
    <row r="218" spans="5:5" ht="15.75" thickBot="1" x14ac:dyDescent="0.3">
      <c r="E218" s="17"/>
    </row>
    <row r="219" spans="5:5" ht="15.75" thickBot="1" x14ac:dyDescent="0.3">
      <c r="E219" s="17"/>
    </row>
    <row r="220" spans="5:5" ht="15.75" thickBot="1" x14ac:dyDescent="0.3">
      <c r="E220" s="17"/>
    </row>
    <row r="221" spans="5:5" ht="15.75" thickBot="1" x14ac:dyDescent="0.3">
      <c r="E221" s="17"/>
    </row>
    <row r="222" spans="5:5" ht="15.75" thickBot="1" x14ac:dyDescent="0.3">
      <c r="E222" s="17"/>
    </row>
    <row r="223" spans="5:5" ht="15.75" thickBot="1" x14ac:dyDescent="0.3">
      <c r="E223" s="17"/>
    </row>
    <row r="224" spans="5:5" ht="15.75" thickBot="1" x14ac:dyDescent="0.3">
      <c r="E224" s="17"/>
    </row>
    <row r="225" spans="5:5" ht="15.75" thickBot="1" x14ac:dyDescent="0.3">
      <c r="E225" s="17"/>
    </row>
    <row r="226" spans="5:5" ht="15.75" thickBot="1" x14ac:dyDescent="0.3">
      <c r="E226" s="17"/>
    </row>
    <row r="227" spans="5:5" ht="15.75" thickBot="1" x14ac:dyDescent="0.3">
      <c r="E227" s="17"/>
    </row>
    <row r="228" spans="5:5" ht="15.75" thickBot="1" x14ac:dyDescent="0.3">
      <c r="E228" s="17"/>
    </row>
    <row r="229" spans="5:5" ht="15.75" thickBot="1" x14ac:dyDescent="0.3">
      <c r="E229" s="17"/>
    </row>
    <row r="230" spans="5:5" ht="15.75" thickBot="1" x14ac:dyDescent="0.3">
      <c r="E230" s="17"/>
    </row>
    <row r="231" spans="5:5" ht="15.75" thickBot="1" x14ac:dyDescent="0.3">
      <c r="E231" s="17"/>
    </row>
    <row r="232" spans="5:5" ht="15.75" thickBot="1" x14ac:dyDescent="0.3">
      <c r="E232" s="17"/>
    </row>
    <row r="233" spans="5:5" ht="15.75" thickBot="1" x14ac:dyDescent="0.3">
      <c r="E233" s="17"/>
    </row>
    <row r="234" spans="5:5" ht="15.75" thickBot="1" x14ac:dyDescent="0.3">
      <c r="E234" s="17"/>
    </row>
    <row r="235" spans="5:5" ht="15.75" thickBot="1" x14ac:dyDescent="0.3">
      <c r="E235" s="17"/>
    </row>
    <row r="236" spans="5:5" ht="15.75" thickBot="1" x14ac:dyDescent="0.3">
      <c r="E236" s="17"/>
    </row>
    <row r="237" spans="5:5" ht="15.75" thickBot="1" x14ac:dyDescent="0.3">
      <c r="E237" s="17"/>
    </row>
    <row r="238" spans="5:5" ht="15.75" thickBot="1" x14ac:dyDescent="0.3">
      <c r="E238" s="17"/>
    </row>
    <row r="239" spans="5:5" ht="15.75" thickBot="1" x14ac:dyDescent="0.3">
      <c r="E239" s="17"/>
    </row>
    <row r="240" spans="5:5" ht="15.75" thickBot="1" x14ac:dyDescent="0.3">
      <c r="E240" s="17"/>
    </row>
    <row r="241" spans="5:5" ht="15.75" thickBot="1" x14ac:dyDescent="0.3">
      <c r="E241" s="17"/>
    </row>
    <row r="242" spans="5:5" ht="15.75" thickBot="1" x14ac:dyDescent="0.3">
      <c r="E242" s="17"/>
    </row>
    <row r="243" spans="5:5" ht="15.75" thickBot="1" x14ac:dyDescent="0.3">
      <c r="E243" s="17"/>
    </row>
    <row r="244" spans="5:5" ht="15.75" thickBot="1" x14ac:dyDescent="0.3">
      <c r="E244" s="17"/>
    </row>
    <row r="245" spans="5:5" ht="15.75" thickBot="1" x14ac:dyDescent="0.3">
      <c r="E245" s="17"/>
    </row>
    <row r="246" spans="5:5" ht="15.75" thickBot="1" x14ac:dyDescent="0.3">
      <c r="E246" s="17"/>
    </row>
    <row r="247" spans="5:5" ht="15.75" thickBot="1" x14ac:dyDescent="0.3">
      <c r="E247" s="17"/>
    </row>
    <row r="248" spans="5:5" ht="15.75" thickBot="1" x14ac:dyDescent="0.3">
      <c r="E248" s="17"/>
    </row>
    <row r="249" spans="5:5" ht="15.75" thickBot="1" x14ac:dyDescent="0.3">
      <c r="E249" s="17"/>
    </row>
    <row r="250" spans="5:5" ht="15.75" thickBot="1" x14ac:dyDescent="0.3">
      <c r="E250" s="17"/>
    </row>
    <row r="251" spans="5:5" ht="15.75" thickBot="1" x14ac:dyDescent="0.3">
      <c r="E251" s="17"/>
    </row>
    <row r="252" spans="5:5" ht="15.75" thickBot="1" x14ac:dyDescent="0.3">
      <c r="E252" s="17"/>
    </row>
    <row r="253" spans="5:5" ht="15.75" thickBot="1" x14ac:dyDescent="0.3">
      <c r="E253" s="17"/>
    </row>
    <row r="254" spans="5:5" ht="15.75" thickBot="1" x14ac:dyDescent="0.3">
      <c r="E254" s="17"/>
    </row>
    <row r="255" spans="5:5" ht="15.75" thickBot="1" x14ac:dyDescent="0.3">
      <c r="E255" s="17"/>
    </row>
    <row r="256" spans="5:5" ht="15.75" thickBot="1" x14ac:dyDescent="0.3">
      <c r="E256" s="17"/>
    </row>
    <row r="257" spans="5:5" ht="15.75" thickBot="1" x14ac:dyDescent="0.3">
      <c r="E257" s="17"/>
    </row>
    <row r="258" spans="5:5" ht="15.75" thickBot="1" x14ac:dyDescent="0.3">
      <c r="E258" s="17"/>
    </row>
    <row r="259" spans="5:5" ht="15.75" thickBot="1" x14ac:dyDescent="0.3">
      <c r="E259" s="17"/>
    </row>
    <row r="260" spans="5:5" ht="15.75" thickBot="1" x14ac:dyDescent="0.3">
      <c r="E260" s="17"/>
    </row>
    <row r="261" spans="5:5" ht="15.75" thickBot="1" x14ac:dyDescent="0.3">
      <c r="E261" s="17"/>
    </row>
    <row r="262" spans="5:5" ht="15.75" thickBot="1" x14ac:dyDescent="0.3">
      <c r="E262" s="17"/>
    </row>
    <row r="263" spans="5:5" ht="15.75" thickBot="1" x14ac:dyDescent="0.3">
      <c r="E263" s="17"/>
    </row>
    <row r="264" spans="5:5" ht="15.75" thickBot="1" x14ac:dyDescent="0.3">
      <c r="E264" s="17"/>
    </row>
    <row r="265" spans="5:5" ht="15.75" thickBot="1" x14ac:dyDescent="0.3">
      <c r="E265" s="17"/>
    </row>
    <row r="266" spans="5:5" ht="15.75" thickBot="1" x14ac:dyDescent="0.3">
      <c r="E266" s="17"/>
    </row>
    <row r="267" spans="5:5" ht="15.75" thickBot="1" x14ac:dyDescent="0.3">
      <c r="E267" s="17"/>
    </row>
    <row r="268" spans="5:5" ht="15.75" thickBot="1" x14ac:dyDescent="0.3">
      <c r="E268" s="17"/>
    </row>
    <row r="269" spans="5:5" ht="15.75" thickBot="1" x14ac:dyDescent="0.3">
      <c r="E269" s="17"/>
    </row>
    <row r="270" spans="5:5" ht="15.75" thickBot="1" x14ac:dyDescent="0.3">
      <c r="E270" s="17"/>
    </row>
    <row r="271" spans="5:5" ht="15.75" thickBot="1" x14ac:dyDescent="0.3">
      <c r="E271" s="17"/>
    </row>
    <row r="272" spans="5:5" ht="15.75" thickBot="1" x14ac:dyDescent="0.3">
      <c r="E272" s="17"/>
    </row>
    <row r="273" spans="5:5" ht="15.75" thickBot="1" x14ac:dyDescent="0.3">
      <c r="E273" s="17"/>
    </row>
    <row r="274" spans="5:5" ht="15.75" thickBot="1" x14ac:dyDescent="0.3">
      <c r="E274" s="17"/>
    </row>
    <row r="275" spans="5:5" ht="15.75" thickBot="1" x14ac:dyDescent="0.3">
      <c r="E275" s="17"/>
    </row>
    <row r="276" spans="5:5" ht="15.75" thickBot="1" x14ac:dyDescent="0.3">
      <c r="E276" s="17"/>
    </row>
    <row r="277" spans="5:5" ht="15.75" thickBot="1" x14ac:dyDescent="0.3">
      <c r="E277" s="17"/>
    </row>
    <row r="278" spans="5:5" ht="15.75" thickBot="1" x14ac:dyDescent="0.3">
      <c r="E278" s="17"/>
    </row>
    <row r="279" spans="5:5" ht="15.75" thickBot="1" x14ac:dyDescent="0.3">
      <c r="E279" s="17"/>
    </row>
    <row r="280" spans="5:5" ht="15.75" thickBot="1" x14ac:dyDescent="0.3">
      <c r="E280" s="17"/>
    </row>
    <row r="281" spans="5:5" ht="15.75" thickBot="1" x14ac:dyDescent="0.3">
      <c r="E281" s="17"/>
    </row>
    <row r="282" spans="5:5" ht="15.75" thickBot="1" x14ac:dyDescent="0.3">
      <c r="E282" s="17"/>
    </row>
    <row r="283" spans="5:5" ht="15.75" thickBot="1" x14ac:dyDescent="0.3">
      <c r="E283" s="17"/>
    </row>
    <row r="284" spans="5:5" ht="15.75" thickBot="1" x14ac:dyDescent="0.3">
      <c r="E284" s="17"/>
    </row>
    <row r="285" spans="5:5" ht="15.75" thickBot="1" x14ac:dyDescent="0.3">
      <c r="E285" s="17"/>
    </row>
    <row r="286" spans="5:5" ht="15.75" thickBot="1" x14ac:dyDescent="0.3">
      <c r="E286" s="17"/>
    </row>
    <row r="287" spans="5:5" ht="15.75" thickBot="1" x14ac:dyDescent="0.3">
      <c r="E287" s="17"/>
    </row>
    <row r="288" spans="5:5" ht="15.75" thickBot="1" x14ac:dyDescent="0.3">
      <c r="E288" s="17"/>
    </row>
    <row r="289" spans="5:5" ht="15.75" thickBot="1" x14ac:dyDescent="0.3">
      <c r="E289" s="17"/>
    </row>
    <row r="290" spans="5:5" ht="15.75" thickBot="1" x14ac:dyDescent="0.3">
      <c r="E290" s="17"/>
    </row>
    <row r="291" spans="5:5" ht="15.75" thickBot="1" x14ac:dyDescent="0.3">
      <c r="E291" s="17"/>
    </row>
    <row r="292" spans="5:5" ht="15.75" thickBot="1" x14ac:dyDescent="0.3">
      <c r="E292" s="17"/>
    </row>
    <row r="293" spans="5:5" ht="15.75" thickBot="1" x14ac:dyDescent="0.3">
      <c r="E293" s="17"/>
    </row>
    <row r="294" spans="5:5" ht="15.75" thickBot="1" x14ac:dyDescent="0.3">
      <c r="E294" s="17"/>
    </row>
    <row r="295" spans="5:5" ht="15.75" thickBot="1" x14ac:dyDescent="0.3">
      <c r="E295" s="17"/>
    </row>
    <row r="296" spans="5:5" ht="15.75" thickBot="1" x14ac:dyDescent="0.3">
      <c r="E296" s="17"/>
    </row>
    <row r="297" spans="5:5" ht="15.75" thickBot="1" x14ac:dyDescent="0.3">
      <c r="E297" s="17"/>
    </row>
    <row r="298" spans="5:5" ht="15.75" thickBot="1" x14ac:dyDescent="0.3">
      <c r="E298" s="17"/>
    </row>
    <row r="299" spans="5:5" ht="15.75" thickBot="1" x14ac:dyDescent="0.3">
      <c r="E299" s="17"/>
    </row>
    <row r="300" spans="5:5" ht="15.75" thickBot="1" x14ac:dyDescent="0.3">
      <c r="E300" s="17"/>
    </row>
    <row r="301" spans="5:5" ht="15.75" thickBot="1" x14ac:dyDescent="0.3">
      <c r="E301" s="17"/>
    </row>
    <row r="302" spans="5:5" ht="15.75" thickBot="1" x14ac:dyDescent="0.3">
      <c r="E302" s="17"/>
    </row>
    <row r="303" spans="5:5" ht="15.75" thickBot="1" x14ac:dyDescent="0.3">
      <c r="E303" s="17"/>
    </row>
    <row r="304" spans="5:5" ht="15.75" thickBot="1" x14ac:dyDescent="0.3">
      <c r="E304" s="17"/>
    </row>
    <row r="305" spans="5:5" ht="15.75" thickBot="1" x14ac:dyDescent="0.3">
      <c r="E305" s="17"/>
    </row>
    <row r="306" spans="5:5" ht="15.75" thickBot="1" x14ac:dyDescent="0.3">
      <c r="E306" s="17"/>
    </row>
    <row r="307" spans="5:5" ht="15.75" thickBot="1" x14ac:dyDescent="0.3">
      <c r="E307" s="17"/>
    </row>
    <row r="308" spans="5:5" ht="15.75" thickBot="1" x14ac:dyDescent="0.3">
      <c r="E308" s="17"/>
    </row>
    <row r="309" spans="5:5" ht="15.75" thickBot="1" x14ac:dyDescent="0.3">
      <c r="E309" s="17"/>
    </row>
    <row r="310" spans="5:5" ht="15.75" thickBot="1" x14ac:dyDescent="0.3">
      <c r="E310" s="17"/>
    </row>
    <row r="311" spans="5:5" ht="15.75" thickBot="1" x14ac:dyDescent="0.3">
      <c r="E311" s="17"/>
    </row>
    <row r="312" spans="5:5" ht="15.75" thickBot="1" x14ac:dyDescent="0.3">
      <c r="E312" s="17"/>
    </row>
    <row r="313" spans="5:5" ht="15.75" thickBot="1" x14ac:dyDescent="0.3">
      <c r="E313" s="17"/>
    </row>
    <row r="314" spans="5:5" ht="15.75" thickBot="1" x14ac:dyDescent="0.3">
      <c r="E314" s="17"/>
    </row>
    <row r="315" spans="5:5" ht="15.75" thickBot="1" x14ac:dyDescent="0.3">
      <c r="E315" s="17"/>
    </row>
    <row r="316" spans="5:5" ht="15.75" thickBot="1" x14ac:dyDescent="0.3">
      <c r="E316" s="17"/>
    </row>
    <row r="317" spans="5:5" ht="15.75" thickBot="1" x14ac:dyDescent="0.3">
      <c r="E317" s="17"/>
    </row>
    <row r="318" spans="5:5" ht="15.75" thickBot="1" x14ac:dyDescent="0.3">
      <c r="E318" s="17"/>
    </row>
    <row r="319" spans="5:5" ht="15.75" thickBot="1" x14ac:dyDescent="0.3">
      <c r="E319" s="17"/>
    </row>
    <row r="320" spans="5:5" ht="15.75" thickBot="1" x14ac:dyDescent="0.3">
      <c r="E320" s="17"/>
    </row>
    <row r="321" spans="5:5" ht="15.75" thickBot="1" x14ac:dyDescent="0.3">
      <c r="E321" s="17"/>
    </row>
    <row r="322" spans="5:5" ht="15.75" thickBot="1" x14ac:dyDescent="0.3">
      <c r="E322" s="17"/>
    </row>
    <row r="323" spans="5:5" ht="15.75" thickBot="1" x14ac:dyDescent="0.3">
      <c r="E323" s="17"/>
    </row>
    <row r="324" spans="5:5" ht="15.75" thickBot="1" x14ac:dyDescent="0.3">
      <c r="E324" s="17"/>
    </row>
    <row r="325" spans="5:5" ht="15.75" thickBot="1" x14ac:dyDescent="0.3">
      <c r="E325" s="17"/>
    </row>
    <row r="326" spans="5:5" ht="15.75" thickBot="1" x14ac:dyDescent="0.3">
      <c r="E326" s="17"/>
    </row>
    <row r="327" spans="5:5" ht="15.75" thickBot="1" x14ac:dyDescent="0.3">
      <c r="E327" s="17"/>
    </row>
    <row r="328" spans="5:5" ht="15.75" thickBot="1" x14ac:dyDescent="0.3">
      <c r="E328" s="17"/>
    </row>
    <row r="329" spans="5:5" ht="15.75" thickBot="1" x14ac:dyDescent="0.3">
      <c r="E329" s="17"/>
    </row>
    <row r="330" spans="5:5" ht="15.75" thickBot="1" x14ac:dyDescent="0.3">
      <c r="E330" s="17"/>
    </row>
    <row r="331" spans="5:5" ht="15.75" thickBot="1" x14ac:dyDescent="0.3">
      <c r="E331" s="17"/>
    </row>
    <row r="332" spans="5:5" ht="15.75" thickBot="1" x14ac:dyDescent="0.3">
      <c r="E332" s="17"/>
    </row>
    <row r="333" spans="5:5" ht="15.75" thickBot="1" x14ac:dyDescent="0.3">
      <c r="E333" s="17"/>
    </row>
    <row r="334" spans="5:5" ht="15.75" thickBot="1" x14ac:dyDescent="0.3">
      <c r="E334" s="17"/>
    </row>
    <row r="335" spans="5:5" ht="15.75" thickBot="1" x14ac:dyDescent="0.3">
      <c r="E335" s="17"/>
    </row>
    <row r="336" spans="5:5" ht="15.75" thickBot="1" x14ac:dyDescent="0.3">
      <c r="E336" s="17"/>
    </row>
    <row r="337" spans="5:5" ht="15.75" thickBot="1" x14ac:dyDescent="0.3">
      <c r="E337" s="17"/>
    </row>
    <row r="338" spans="5:5" ht="15.75" thickBot="1" x14ac:dyDescent="0.3">
      <c r="E338" s="17"/>
    </row>
    <row r="339" spans="5:5" ht="15.75" thickBot="1" x14ac:dyDescent="0.3">
      <c r="E339" s="17"/>
    </row>
    <row r="340" spans="5:5" ht="15.75" thickBot="1" x14ac:dyDescent="0.3">
      <c r="E340" s="17"/>
    </row>
    <row r="341" spans="5:5" ht="15.75" thickBot="1" x14ac:dyDescent="0.3">
      <c r="E341" s="17"/>
    </row>
    <row r="342" spans="5:5" ht="15.75" thickBot="1" x14ac:dyDescent="0.3">
      <c r="E342" s="17"/>
    </row>
    <row r="343" spans="5:5" ht="15.75" thickBot="1" x14ac:dyDescent="0.3">
      <c r="E343" s="17"/>
    </row>
    <row r="344" spans="5:5" ht="15.75" thickBot="1" x14ac:dyDescent="0.3">
      <c r="E344" s="17"/>
    </row>
    <row r="345" spans="5:5" ht="15.75" thickBot="1" x14ac:dyDescent="0.3">
      <c r="E345" s="17"/>
    </row>
    <row r="346" spans="5:5" ht="15.75" thickBot="1" x14ac:dyDescent="0.3">
      <c r="E346" s="17"/>
    </row>
    <row r="347" spans="5:5" ht="15.75" thickBot="1" x14ac:dyDescent="0.3">
      <c r="E347" s="17"/>
    </row>
    <row r="348" spans="5:5" ht="15.75" thickBot="1" x14ac:dyDescent="0.3">
      <c r="E348" s="17"/>
    </row>
    <row r="349" spans="5:5" ht="15.75" thickBot="1" x14ac:dyDescent="0.3">
      <c r="E349" s="17"/>
    </row>
    <row r="350" spans="5:5" ht="15.75" thickBot="1" x14ac:dyDescent="0.3">
      <c r="E350" s="17"/>
    </row>
    <row r="351" spans="5:5" ht="15.75" thickBot="1" x14ac:dyDescent="0.3">
      <c r="E351" s="17"/>
    </row>
    <row r="352" spans="5:5" ht="15.75" thickBot="1" x14ac:dyDescent="0.3">
      <c r="E352" s="17"/>
    </row>
    <row r="353" spans="5:5" ht="15.75" thickBot="1" x14ac:dyDescent="0.3">
      <c r="E353" s="17"/>
    </row>
    <row r="354" spans="5:5" ht="15.75" thickBot="1" x14ac:dyDescent="0.3">
      <c r="E354" s="17"/>
    </row>
    <row r="355" spans="5:5" ht="15.75" thickBot="1" x14ac:dyDescent="0.3">
      <c r="E355" s="17"/>
    </row>
    <row r="356" spans="5:5" ht="15.75" thickBot="1" x14ac:dyDescent="0.3">
      <c r="E356" s="17"/>
    </row>
    <row r="357" spans="5:5" ht="15.75" thickBot="1" x14ac:dyDescent="0.3">
      <c r="E357" s="17"/>
    </row>
    <row r="358" spans="5:5" ht="15.75" thickBot="1" x14ac:dyDescent="0.3">
      <c r="E358" s="17"/>
    </row>
    <row r="359" spans="5:5" ht="15.75" thickBot="1" x14ac:dyDescent="0.3">
      <c r="E359" s="17"/>
    </row>
    <row r="360" spans="5:5" ht="15.75" thickBot="1" x14ac:dyDescent="0.3">
      <c r="E360" s="17"/>
    </row>
    <row r="361" spans="5:5" ht="15.75" thickBot="1" x14ac:dyDescent="0.3">
      <c r="E361" s="17"/>
    </row>
    <row r="362" spans="5:5" ht="15.75" thickBot="1" x14ac:dyDescent="0.3">
      <c r="E362" s="17"/>
    </row>
    <row r="363" spans="5:5" ht="15.75" thickBot="1" x14ac:dyDescent="0.3">
      <c r="E363" s="17"/>
    </row>
    <row r="364" spans="5:5" ht="15.75" thickBot="1" x14ac:dyDescent="0.3">
      <c r="E364" s="17"/>
    </row>
    <row r="365" spans="5:5" ht="15.75" thickBot="1" x14ac:dyDescent="0.3">
      <c r="E365" s="17"/>
    </row>
    <row r="366" spans="5:5" ht="15.75" thickBot="1" x14ac:dyDescent="0.3">
      <c r="E366" s="17"/>
    </row>
    <row r="367" spans="5:5" ht="15.75" thickBot="1" x14ac:dyDescent="0.3">
      <c r="E367" s="17"/>
    </row>
    <row r="368" spans="5:5" ht="15.75" thickBot="1" x14ac:dyDescent="0.3">
      <c r="E368" s="17"/>
    </row>
    <row r="369" spans="5:5" ht="15.75" thickBot="1" x14ac:dyDescent="0.3">
      <c r="E369" s="17"/>
    </row>
    <row r="370" spans="5:5" ht="15.75" thickBot="1" x14ac:dyDescent="0.3">
      <c r="E370" s="17"/>
    </row>
    <row r="371" spans="5:5" ht="15.75" thickBot="1" x14ac:dyDescent="0.3">
      <c r="E371" s="17"/>
    </row>
    <row r="372" spans="5:5" ht="15.75" thickBot="1" x14ac:dyDescent="0.3">
      <c r="E372" s="17"/>
    </row>
    <row r="373" spans="5:5" ht="15.75" thickBot="1" x14ac:dyDescent="0.3">
      <c r="E373" s="17"/>
    </row>
    <row r="374" spans="5:5" ht="15.75" thickBot="1" x14ac:dyDescent="0.3">
      <c r="E374" s="17"/>
    </row>
    <row r="375" spans="5:5" ht="15.75" thickBot="1" x14ac:dyDescent="0.3">
      <c r="E375" s="17"/>
    </row>
    <row r="376" spans="5:5" ht="15.75" thickBot="1" x14ac:dyDescent="0.3">
      <c r="E376" s="17"/>
    </row>
    <row r="377" spans="5:5" ht="15.75" thickBot="1" x14ac:dyDescent="0.3">
      <c r="E377" s="17"/>
    </row>
    <row r="378" spans="5:5" ht="15.75" thickBot="1" x14ac:dyDescent="0.3">
      <c r="E378" s="17"/>
    </row>
    <row r="379" spans="5:5" ht="15.75" thickBot="1" x14ac:dyDescent="0.3">
      <c r="E379" s="17"/>
    </row>
    <row r="380" spans="5:5" ht="15.75" thickBot="1" x14ac:dyDescent="0.3">
      <c r="E380" s="17"/>
    </row>
    <row r="381" spans="5:5" ht="15.75" thickBot="1" x14ac:dyDescent="0.3">
      <c r="E381" s="17"/>
    </row>
    <row r="382" spans="5:5" ht="15.75" thickBot="1" x14ac:dyDescent="0.3">
      <c r="E382" s="17"/>
    </row>
    <row r="383" spans="5:5" ht="15.75" thickBot="1" x14ac:dyDescent="0.3">
      <c r="E383" s="17"/>
    </row>
    <row r="384" spans="5:5" ht="15.75" thickBot="1" x14ac:dyDescent="0.3">
      <c r="E384" s="17"/>
    </row>
    <row r="385" spans="5:5" ht="15.75" thickBot="1" x14ac:dyDescent="0.3">
      <c r="E385" s="17"/>
    </row>
    <row r="386" spans="5:5" ht="15.75" thickBot="1" x14ac:dyDescent="0.3">
      <c r="E386" s="17"/>
    </row>
    <row r="387" spans="5:5" ht="15.75" thickBot="1" x14ac:dyDescent="0.3">
      <c r="E387" s="17"/>
    </row>
    <row r="388" spans="5:5" ht="15.75" thickBot="1" x14ac:dyDescent="0.3">
      <c r="E388" s="17"/>
    </row>
    <row r="389" spans="5:5" ht="15.75" thickBot="1" x14ac:dyDescent="0.3">
      <c r="E389" s="17"/>
    </row>
    <row r="390" spans="5:5" ht="15.75" thickBot="1" x14ac:dyDescent="0.3">
      <c r="E390" s="17"/>
    </row>
    <row r="391" spans="5:5" ht="15.75" thickBot="1" x14ac:dyDescent="0.3">
      <c r="E391" s="17"/>
    </row>
    <row r="392" spans="5:5" ht="15.75" thickBot="1" x14ac:dyDescent="0.3">
      <c r="E392" s="17"/>
    </row>
    <row r="393" spans="5:5" ht="15.75" thickBot="1" x14ac:dyDescent="0.3">
      <c r="E393" s="17"/>
    </row>
    <row r="394" spans="5:5" ht="15.75" thickBot="1" x14ac:dyDescent="0.3">
      <c r="E394" s="17"/>
    </row>
    <row r="395" spans="5:5" ht="15.75" thickBot="1" x14ac:dyDescent="0.3">
      <c r="E395" s="17"/>
    </row>
    <row r="396" spans="5:5" ht="15.75" thickBot="1" x14ac:dyDescent="0.3">
      <c r="E396" s="17"/>
    </row>
    <row r="397" spans="5:5" ht="15.75" thickBot="1" x14ac:dyDescent="0.3">
      <c r="E397" s="17"/>
    </row>
    <row r="398" spans="5:5" ht="15.75" thickBot="1" x14ac:dyDescent="0.3">
      <c r="E398" s="17"/>
    </row>
    <row r="399" spans="5:5" ht="15.75" thickBot="1" x14ac:dyDescent="0.3">
      <c r="E399" s="17"/>
    </row>
    <row r="400" spans="5:5" ht="15.75" thickBot="1" x14ac:dyDescent="0.3">
      <c r="E400" s="17"/>
    </row>
    <row r="401" spans="5:5" ht="15.75" thickBot="1" x14ac:dyDescent="0.3">
      <c r="E401" s="17"/>
    </row>
    <row r="402" spans="5:5" ht="15.75" thickBot="1" x14ac:dyDescent="0.3">
      <c r="E402" s="17"/>
    </row>
    <row r="403" spans="5:5" ht="15.75" thickBot="1" x14ac:dyDescent="0.3">
      <c r="E403" s="17"/>
    </row>
    <row r="404" spans="5:5" ht="15.75" thickBot="1" x14ac:dyDescent="0.3">
      <c r="E404" s="17"/>
    </row>
    <row r="405" spans="5:5" ht="15.75" thickBot="1" x14ac:dyDescent="0.3">
      <c r="E405" s="17"/>
    </row>
    <row r="406" spans="5:5" ht="15.75" thickBot="1" x14ac:dyDescent="0.3">
      <c r="E406" s="17"/>
    </row>
    <row r="407" spans="5:5" ht="15.75" thickBot="1" x14ac:dyDescent="0.3">
      <c r="E407" s="17"/>
    </row>
    <row r="408" spans="5:5" ht="15.75" thickBot="1" x14ac:dyDescent="0.3">
      <c r="E408" s="17"/>
    </row>
    <row r="409" spans="5:5" ht="15.75" thickBot="1" x14ac:dyDescent="0.3">
      <c r="E409" s="17"/>
    </row>
    <row r="410" spans="5:5" ht="15.75" thickBot="1" x14ac:dyDescent="0.3">
      <c r="E410" s="17"/>
    </row>
    <row r="411" spans="5:5" ht="15.75" thickBot="1" x14ac:dyDescent="0.3">
      <c r="E411" s="17"/>
    </row>
    <row r="412" spans="5:5" ht="15.75" thickBot="1" x14ac:dyDescent="0.3">
      <c r="E412" s="17"/>
    </row>
    <row r="413" spans="5:5" ht="15.75" thickBot="1" x14ac:dyDescent="0.3">
      <c r="E413" s="17"/>
    </row>
    <row r="414" spans="5:5" ht="15.75" thickBot="1" x14ac:dyDescent="0.3">
      <c r="E414" s="17"/>
    </row>
    <row r="415" spans="5:5" ht="15.75" thickBot="1" x14ac:dyDescent="0.3">
      <c r="E415" s="17"/>
    </row>
    <row r="416" spans="5:5" ht="15.75" thickBot="1" x14ac:dyDescent="0.3">
      <c r="E416" s="17"/>
    </row>
    <row r="417" spans="5:5" ht="15.75" thickBot="1" x14ac:dyDescent="0.3">
      <c r="E417" s="17"/>
    </row>
    <row r="418" spans="5:5" ht="15.75" thickBot="1" x14ac:dyDescent="0.3">
      <c r="E418" s="17"/>
    </row>
    <row r="419" spans="5:5" ht="15.75" thickBot="1" x14ac:dyDescent="0.3">
      <c r="E419" s="17"/>
    </row>
    <row r="420" spans="5:5" ht="15.75" thickBot="1" x14ac:dyDescent="0.3">
      <c r="E420" s="17"/>
    </row>
    <row r="421" spans="5:5" ht="15.75" thickBot="1" x14ac:dyDescent="0.3">
      <c r="E421" s="17"/>
    </row>
    <row r="422" spans="5:5" ht="15.75" thickBot="1" x14ac:dyDescent="0.3">
      <c r="E422" s="17"/>
    </row>
    <row r="423" spans="5:5" ht="15.75" thickBot="1" x14ac:dyDescent="0.3">
      <c r="E423" s="17"/>
    </row>
    <row r="424" spans="5:5" ht="15.75" thickBot="1" x14ac:dyDescent="0.3">
      <c r="E424" s="17"/>
    </row>
    <row r="425" spans="5:5" ht="15.75" thickBot="1" x14ac:dyDescent="0.3">
      <c r="E425" s="17"/>
    </row>
    <row r="426" spans="5:5" ht="15.75" thickBot="1" x14ac:dyDescent="0.3">
      <c r="E426" s="17"/>
    </row>
    <row r="427" spans="5:5" ht="15.75" thickBot="1" x14ac:dyDescent="0.3">
      <c r="E427" s="17"/>
    </row>
    <row r="428" spans="5:5" ht="15.75" thickBot="1" x14ac:dyDescent="0.3">
      <c r="E428" s="17"/>
    </row>
    <row r="429" spans="5:5" ht="15.75" thickBot="1" x14ac:dyDescent="0.3">
      <c r="E429" s="17"/>
    </row>
    <row r="430" spans="5:5" ht="15.75" thickBot="1" x14ac:dyDescent="0.3">
      <c r="E430" s="17"/>
    </row>
    <row r="431" spans="5:5" ht="15.75" thickBot="1" x14ac:dyDescent="0.3">
      <c r="E431" s="17"/>
    </row>
    <row r="432" spans="5:5" ht="15.75" thickBot="1" x14ac:dyDescent="0.3">
      <c r="E432" s="17"/>
    </row>
    <row r="433" spans="5:5" ht="15.75" thickBot="1" x14ac:dyDescent="0.3">
      <c r="E433" s="17"/>
    </row>
    <row r="434" spans="5:5" ht="15.75" thickBot="1" x14ac:dyDescent="0.3">
      <c r="E434" s="17"/>
    </row>
    <row r="435" spans="5:5" ht="15.75" thickBot="1" x14ac:dyDescent="0.3">
      <c r="E435" s="17"/>
    </row>
    <row r="436" spans="5:5" ht="15.75" thickBot="1" x14ac:dyDescent="0.3">
      <c r="E436" s="17"/>
    </row>
    <row r="437" spans="5:5" ht="15.75" thickBot="1" x14ac:dyDescent="0.3">
      <c r="E437" s="17"/>
    </row>
    <row r="438" spans="5:5" ht="15.75" thickBot="1" x14ac:dyDescent="0.3">
      <c r="E438" s="17"/>
    </row>
    <row r="439" spans="5:5" ht="15.75" thickBot="1" x14ac:dyDescent="0.3">
      <c r="E439" s="17"/>
    </row>
    <row r="440" spans="5:5" ht="15.75" thickBot="1" x14ac:dyDescent="0.3">
      <c r="E440" s="17"/>
    </row>
    <row r="441" spans="5:5" ht="15.75" thickBot="1" x14ac:dyDescent="0.3">
      <c r="E441" s="17"/>
    </row>
    <row r="442" spans="5:5" ht="15.75" thickBot="1" x14ac:dyDescent="0.3">
      <c r="E442" s="17"/>
    </row>
    <row r="443" spans="5:5" ht="15.75" thickBot="1" x14ac:dyDescent="0.3">
      <c r="E443" s="17"/>
    </row>
    <row r="444" spans="5:5" ht="15.75" thickBot="1" x14ac:dyDescent="0.3">
      <c r="E444" s="17"/>
    </row>
    <row r="445" spans="5:5" ht="15.75" thickBot="1" x14ac:dyDescent="0.3">
      <c r="E445" s="17"/>
    </row>
    <row r="446" spans="5:5" ht="15.75" thickBot="1" x14ac:dyDescent="0.3">
      <c r="E446" s="17"/>
    </row>
    <row r="447" spans="5:5" ht="15.75" thickBot="1" x14ac:dyDescent="0.3">
      <c r="E447" s="17"/>
    </row>
    <row r="448" spans="5:5" ht="15.75" thickBot="1" x14ac:dyDescent="0.3">
      <c r="E448" s="17"/>
    </row>
    <row r="449" spans="5:5" ht="15.75" thickBot="1" x14ac:dyDescent="0.3">
      <c r="E449" s="17"/>
    </row>
    <row r="450" spans="5:5" ht="15.75" thickBot="1" x14ac:dyDescent="0.3">
      <c r="E450" s="17"/>
    </row>
    <row r="451" spans="5:5" ht="15.75" thickBot="1" x14ac:dyDescent="0.3">
      <c r="E451" s="17"/>
    </row>
    <row r="452" spans="5:5" ht="15.75" thickBot="1" x14ac:dyDescent="0.3">
      <c r="E452" s="17"/>
    </row>
    <row r="453" spans="5:5" ht="15.75" thickBot="1" x14ac:dyDescent="0.3">
      <c r="E453" s="17"/>
    </row>
    <row r="454" spans="5:5" ht="15.75" thickBot="1" x14ac:dyDescent="0.3">
      <c r="E454" s="17"/>
    </row>
    <row r="455" spans="5:5" ht="15.75" thickBot="1" x14ac:dyDescent="0.3">
      <c r="E455" s="17"/>
    </row>
    <row r="456" spans="5:5" ht="15.75" thickBot="1" x14ac:dyDescent="0.3">
      <c r="E456" s="17"/>
    </row>
    <row r="457" spans="5:5" ht="15.75" thickBot="1" x14ac:dyDescent="0.3">
      <c r="E457" s="17"/>
    </row>
    <row r="458" spans="5:5" ht="15.75" thickBot="1" x14ac:dyDescent="0.3">
      <c r="E458" s="17"/>
    </row>
    <row r="459" spans="5:5" ht="15.75" thickBot="1" x14ac:dyDescent="0.3">
      <c r="E459" s="17"/>
    </row>
    <row r="460" spans="5:5" ht="15.75" thickBot="1" x14ac:dyDescent="0.3">
      <c r="E460" s="17"/>
    </row>
    <row r="461" spans="5:5" ht="15.75" thickBot="1" x14ac:dyDescent="0.3">
      <c r="E461" s="17"/>
    </row>
    <row r="462" spans="5:5" ht="15.75" thickBot="1" x14ac:dyDescent="0.3">
      <c r="E462" s="17"/>
    </row>
    <row r="463" spans="5:5" ht="15.75" thickBot="1" x14ac:dyDescent="0.3">
      <c r="E463" s="17"/>
    </row>
    <row r="464" spans="5:5" ht="15.75" thickBot="1" x14ac:dyDescent="0.3">
      <c r="E464" s="17"/>
    </row>
    <row r="465" spans="5:5" ht="15.75" thickBot="1" x14ac:dyDescent="0.3">
      <c r="E465" s="17"/>
    </row>
    <row r="466" spans="5:5" ht="15.75" thickBot="1" x14ac:dyDescent="0.3">
      <c r="E466" s="17"/>
    </row>
    <row r="467" spans="5:5" ht="15.75" thickBot="1" x14ac:dyDescent="0.3">
      <c r="E467" s="17"/>
    </row>
    <row r="468" spans="5:5" ht="15.75" thickBot="1" x14ac:dyDescent="0.3">
      <c r="E468" s="17"/>
    </row>
    <row r="469" spans="5:5" ht="15.75" thickBot="1" x14ac:dyDescent="0.3">
      <c r="E469" s="17"/>
    </row>
    <row r="470" spans="5:5" ht="15.75" thickBot="1" x14ac:dyDescent="0.3">
      <c r="E470" s="17"/>
    </row>
    <row r="471" spans="5:5" ht="15.75" thickBot="1" x14ac:dyDescent="0.3">
      <c r="E471" s="17"/>
    </row>
    <row r="472" spans="5:5" ht="15.75" thickBot="1" x14ac:dyDescent="0.3">
      <c r="E472" s="17"/>
    </row>
    <row r="473" spans="5:5" ht="15.75" thickBot="1" x14ac:dyDescent="0.3">
      <c r="E473" s="17"/>
    </row>
    <row r="474" spans="5:5" ht="15.75" thickBot="1" x14ac:dyDescent="0.3">
      <c r="E474" s="17"/>
    </row>
    <row r="475" spans="5:5" ht="15.75" thickBot="1" x14ac:dyDescent="0.3">
      <c r="E475" s="17"/>
    </row>
    <row r="476" spans="5:5" ht="15.75" thickBot="1" x14ac:dyDescent="0.3">
      <c r="E476" s="17"/>
    </row>
    <row r="477" spans="5:5" ht="15.75" thickBot="1" x14ac:dyDescent="0.3">
      <c r="E477" s="17"/>
    </row>
    <row r="478" spans="5:5" ht="15.75" thickBot="1" x14ac:dyDescent="0.3">
      <c r="E478" s="17"/>
    </row>
    <row r="479" spans="5:5" ht="15.75" thickBot="1" x14ac:dyDescent="0.3">
      <c r="E479" s="17"/>
    </row>
    <row r="480" spans="5:5" ht="15.75" thickBot="1" x14ac:dyDescent="0.3">
      <c r="E480" s="17"/>
    </row>
    <row r="481" spans="5:5" ht="15.75" thickBot="1" x14ac:dyDescent="0.3">
      <c r="E481" s="17"/>
    </row>
    <row r="482" spans="5:5" ht="15.75" thickBot="1" x14ac:dyDescent="0.3">
      <c r="E482" s="17"/>
    </row>
    <row r="483" spans="5:5" ht="15.75" thickBot="1" x14ac:dyDescent="0.3">
      <c r="E483" s="17"/>
    </row>
    <row r="484" spans="5:5" ht="15.75" thickBot="1" x14ac:dyDescent="0.3">
      <c r="E484" s="17"/>
    </row>
    <row r="485" spans="5:5" ht="15.75" thickBot="1" x14ac:dyDescent="0.3">
      <c r="E485" s="17"/>
    </row>
    <row r="486" spans="5:5" ht="15.75" thickBot="1" x14ac:dyDescent="0.3">
      <c r="E486" s="17"/>
    </row>
    <row r="487" spans="5:5" ht="15.75" thickBot="1" x14ac:dyDescent="0.3">
      <c r="E487" s="17"/>
    </row>
    <row r="488" spans="5:5" ht="15.75" thickBot="1" x14ac:dyDescent="0.3">
      <c r="E488" s="17"/>
    </row>
    <row r="489" spans="5:5" ht="15.75" thickBot="1" x14ac:dyDescent="0.3">
      <c r="E489" s="17"/>
    </row>
    <row r="490" spans="5:5" ht="15.75" thickBot="1" x14ac:dyDescent="0.3">
      <c r="E490" s="17"/>
    </row>
    <row r="491" spans="5:5" ht="15.75" thickBot="1" x14ac:dyDescent="0.3">
      <c r="E491" s="17"/>
    </row>
    <row r="492" spans="5:5" ht="15.75" thickBot="1" x14ac:dyDescent="0.3">
      <c r="E492" s="17"/>
    </row>
    <row r="493" spans="5:5" ht="15.75" thickBot="1" x14ac:dyDescent="0.3">
      <c r="E493" s="17"/>
    </row>
    <row r="494" spans="5:5" ht="15.75" thickBot="1" x14ac:dyDescent="0.3">
      <c r="E494" s="17"/>
    </row>
    <row r="495" spans="5:5" ht="15.75" thickBot="1" x14ac:dyDescent="0.3">
      <c r="E495" s="17"/>
    </row>
    <row r="496" spans="5:5" ht="15.75" thickBot="1" x14ac:dyDescent="0.3">
      <c r="E496" s="17"/>
    </row>
    <row r="497" spans="5:5" ht="15.75" thickBot="1" x14ac:dyDescent="0.3">
      <c r="E497" s="17"/>
    </row>
    <row r="498" spans="5:5" ht="15.75" thickBot="1" x14ac:dyDescent="0.3">
      <c r="E498" s="17"/>
    </row>
    <row r="499" spans="5:5" ht="15.75" thickBot="1" x14ac:dyDescent="0.3">
      <c r="E499" s="17"/>
    </row>
    <row r="500" spans="5:5" ht="15.75" thickBot="1" x14ac:dyDescent="0.3">
      <c r="E500" s="17"/>
    </row>
    <row r="501" spans="5:5" ht="15.75" thickBot="1" x14ac:dyDescent="0.3">
      <c r="E501" s="17"/>
    </row>
    <row r="502" spans="5:5" ht="15.75" thickBot="1" x14ac:dyDescent="0.3">
      <c r="E502" s="17"/>
    </row>
    <row r="503" spans="5:5" ht="15.75" thickBot="1" x14ac:dyDescent="0.3">
      <c r="E503" s="17"/>
    </row>
    <row r="504" spans="5:5" ht="15.75" thickBot="1" x14ac:dyDescent="0.3">
      <c r="E504" s="17"/>
    </row>
    <row r="505" spans="5:5" ht="15.75" thickBot="1" x14ac:dyDescent="0.3">
      <c r="E505" s="17"/>
    </row>
    <row r="506" spans="5:5" ht="15.75" thickBot="1" x14ac:dyDescent="0.3">
      <c r="E506" s="17"/>
    </row>
    <row r="507" spans="5:5" ht="15.75" thickBot="1" x14ac:dyDescent="0.3">
      <c r="E507" s="17"/>
    </row>
    <row r="508" spans="5:5" ht="15.75" thickBot="1" x14ac:dyDescent="0.3">
      <c r="E508" s="17"/>
    </row>
    <row r="509" spans="5:5" ht="15.75" thickBot="1" x14ac:dyDescent="0.3">
      <c r="E509" s="17"/>
    </row>
    <row r="510" spans="5:5" ht="15.75" thickBot="1" x14ac:dyDescent="0.3">
      <c r="E510" s="17"/>
    </row>
    <row r="511" spans="5:5" ht="15.75" thickBot="1" x14ac:dyDescent="0.3">
      <c r="E511" s="17"/>
    </row>
    <row r="512" spans="5:5" ht="15.75" thickBot="1" x14ac:dyDescent="0.3">
      <c r="E512" s="17"/>
    </row>
    <row r="513" spans="5:5" ht="15.75" thickBot="1" x14ac:dyDescent="0.3">
      <c r="E513" s="17"/>
    </row>
    <row r="514" spans="5:5" ht="15.75" thickBot="1" x14ac:dyDescent="0.3">
      <c r="E514" s="17"/>
    </row>
    <row r="515" spans="5:5" ht="15.75" thickBot="1" x14ac:dyDescent="0.3">
      <c r="E515" s="17"/>
    </row>
    <row r="516" spans="5:5" ht="15.75" thickBot="1" x14ac:dyDescent="0.3">
      <c r="E516" s="17"/>
    </row>
    <row r="517" spans="5:5" ht="15.75" thickBot="1" x14ac:dyDescent="0.3">
      <c r="E517" s="17"/>
    </row>
    <row r="518" spans="5:5" ht="15.75" thickBot="1" x14ac:dyDescent="0.3">
      <c r="E518" s="17"/>
    </row>
    <row r="519" spans="5:5" ht="15.75" thickBot="1" x14ac:dyDescent="0.3">
      <c r="E519" s="17"/>
    </row>
    <row r="520" spans="5:5" ht="15.75" thickBot="1" x14ac:dyDescent="0.3">
      <c r="E520" s="17"/>
    </row>
    <row r="521" spans="5:5" ht="15.75" thickBot="1" x14ac:dyDescent="0.3">
      <c r="E521" s="17"/>
    </row>
    <row r="522" spans="5:5" ht="15.75" thickBot="1" x14ac:dyDescent="0.3">
      <c r="E522" s="17"/>
    </row>
    <row r="523" spans="5:5" ht="15.75" thickBot="1" x14ac:dyDescent="0.3">
      <c r="E523" s="17"/>
    </row>
    <row r="524" spans="5:5" ht="15.75" thickBot="1" x14ac:dyDescent="0.3">
      <c r="E524" s="17"/>
    </row>
    <row r="525" spans="5:5" ht="15.75" thickBot="1" x14ac:dyDescent="0.3">
      <c r="E525" s="17"/>
    </row>
    <row r="526" spans="5:5" ht="15.75" thickBot="1" x14ac:dyDescent="0.3">
      <c r="E526" s="17"/>
    </row>
    <row r="527" spans="5:5" ht="15.75" thickBot="1" x14ac:dyDescent="0.3">
      <c r="E527" s="17"/>
    </row>
    <row r="528" spans="5:5" ht="15.75" thickBot="1" x14ac:dyDescent="0.3">
      <c r="E528" s="17"/>
    </row>
    <row r="529" spans="5:5" ht="15.75" thickBot="1" x14ac:dyDescent="0.3">
      <c r="E529" s="17"/>
    </row>
    <row r="530" spans="5:5" ht="15.75" thickBot="1" x14ac:dyDescent="0.3">
      <c r="E530" s="17"/>
    </row>
    <row r="531" spans="5:5" ht="15.75" thickBot="1" x14ac:dyDescent="0.3">
      <c r="E531" s="17"/>
    </row>
    <row r="532" spans="5:5" ht="15.75" thickBot="1" x14ac:dyDescent="0.3">
      <c r="E532" s="17"/>
    </row>
    <row r="533" spans="5:5" ht="15.75" thickBot="1" x14ac:dyDescent="0.3">
      <c r="E533" s="17"/>
    </row>
    <row r="534" spans="5:5" ht="15.75" thickBot="1" x14ac:dyDescent="0.3">
      <c r="E534" s="17"/>
    </row>
    <row r="535" spans="5:5" ht="15.75" thickBot="1" x14ac:dyDescent="0.3">
      <c r="E535" s="17"/>
    </row>
    <row r="536" spans="5:5" ht="15.75" thickBot="1" x14ac:dyDescent="0.3">
      <c r="E536" s="17"/>
    </row>
    <row r="537" spans="5:5" ht="15.75" thickBot="1" x14ac:dyDescent="0.3">
      <c r="E537" s="17"/>
    </row>
    <row r="538" spans="5:5" ht="15.75" thickBot="1" x14ac:dyDescent="0.3">
      <c r="E538" s="17"/>
    </row>
    <row r="539" spans="5:5" ht="15.75" thickBot="1" x14ac:dyDescent="0.3">
      <c r="E539" s="17"/>
    </row>
    <row r="540" spans="5:5" ht="15.75" thickBot="1" x14ac:dyDescent="0.3">
      <c r="E540" s="17"/>
    </row>
    <row r="541" spans="5:5" ht="15.75" thickBot="1" x14ac:dyDescent="0.3">
      <c r="E541" s="17"/>
    </row>
    <row r="542" spans="5:5" ht="15.75" thickBot="1" x14ac:dyDescent="0.3">
      <c r="E542" s="17"/>
    </row>
    <row r="543" spans="5:5" ht="15.75" thickBot="1" x14ac:dyDescent="0.3">
      <c r="E543" s="17"/>
    </row>
    <row r="544" spans="5:5" ht="15.75" thickBot="1" x14ac:dyDescent="0.3">
      <c r="E544" s="17"/>
    </row>
    <row r="545" spans="5:5" ht="15.75" thickBot="1" x14ac:dyDescent="0.3">
      <c r="E545" s="17"/>
    </row>
    <row r="546" spans="5:5" ht="15.75" thickBot="1" x14ac:dyDescent="0.3">
      <c r="E546" s="17"/>
    </row>
    <row r="547" spans="5:5" ht="15.75" thickBot="1" x14ac:dyDescent="0.3">
      <c r="E547" s="17"/>
    </row>
    <row r="548" spans="5:5" ht="15.75" thickBot="1" x14ac:dyDescent="0.3">
      <c r="E548" s="17"/>
    </row>
    <row r="549" spans="5:5" ht="15.75" thickBot="1" x14ac:dyDescent="0.3">
      <c r="E549" s="17"/>
    </row>
    <row r="550" spans="5:5" ht="15.75" thickBot="1" x14ac:dyDescent="0.3">
      <c r="E550" s="17"/>
    </row>
    <row r="551" spans="5:5" ht="15.75" thickBot="1" x14ac:dyDescent="0.3">
      <c r="E551" s="17"/>
    </row>
    <row r="552" spans="5:5" ht="15.75" thickBot="1" x14ac:dyDescent="0.3">
      <c r="E552" s="17"/>
    </row>
    <row r="553" spans="5:5" ht="15.75" thickBot="1" x14ac:dyDescent="0.3">
      <c r="E553" s="17"/>
    </row>
    <row r="554" spans="5:5" ht="15.75" thickBot="1" x14ac:dyDescent="0.3">
      <c r="E554" s="17"/>
    </row>
    <row r="555" spans="5:5" ht="15.75" thickBot="1" x14ac:dyDescent="0.3">
      <c r="E555" s="17"/>
    </row>
    <row r="556" spans="5:5" ht="15.75" thickBot="1" x14ac:dyDescent="0.3">
      <c r="E556" s="17"/>
    </row>
    <row r="557" spans="5:5" ht="15.75" thickBot="1" x14ac:dyDescent="0.3">
      <c r="E557" s="17"/>
    </row>
    <row r="558" spans="5:5" ht="15.75" thickBot="1" x14ac:dyDescent="0.3">
      <c r="E558" s="17"/>
    </row>
    <row r="559" spans="5:5" ht="15.75" thickBot="1" x14ac:dyDescent="0.3">
      <c r="E559" s="17"/>
    </row>
    <row r="560" spans="5:5" ht="15.75" thickBot="1" x14ac:dyDescent="0.3">
      <c r="E560" s="17"/>
    </row>
    <row r="561" spans="5:5" ht="15.75" thickBot="1" x14ac:dyDescent="0.3">
      <c r="E561" s="17"/>
    </row>
    <row r="562" spans="5:5" ht="15.75" thickBot="1" x14ac:dyDescent="0.3">
      <c r="E562" s="17"/>
    </row>
    <row r="563" spans="5:5" ht="15.75" thickBot="1" x14ac:dyDescent="0.3">
      <c r="E563" s="17"/>
    </row>
    <row r="564" spans="5:5" ht="15.75" thickBot="1" x14ac:dyDescent="0.3">
      <c r="E564" s="17"/>
    </row>
    <row r="565" spans="5:5" ht="15.75" thickBot="1" x14ac:dyDescent="0.3">
      <c r="E565" s="17"/>
    </row>
    <row r="566" spans="5:5" ht="15.75" thickBot="1" x14ac:dyDescent="0.3">
      <c r="E566" s="17"/>
    </row>
    <row r="567" spans="5:5" ht="15.75" thickBot="1" x14ac:dyDescent="0.3">
      <c r="E567" s="17"/>
    </row>
    <row r="568" spans="5:5" ht="15.75" thickBot="1" x14ac:dyDescent="0.3">
      <c r="E568" s="17"/>
    </row>
    <row r="569" spans="5:5" ht="15.75" thickBot="1" x14ac:dyDescent="0.3">
      <c r="E569" s="17"/>
    </row>
    <row r="570" spans="5:5" ht="15.75" thickBot="1" x14ac:dyDescent="0.3">
      <c r="E570" s="17"/>
    </row>
    <row r="571" spans="5:5" ht="15.75" thickBot="1" x14ac:dyDescent="0.3">
      <c r="E571" s="17"/>
    </row>
    <row r="572" spans="5:5" ht="15.75" thickBot="1" x14ac:dyDescent="0.3">
      <c r="E572" s="17"/>
    </row>
    <row r="573" spans="5:5" ht="15.75" thickBot="1" x14ac:dyDescent="0.3">
      <c r="E573" s="17"/>
    </row>
    <row r="574" spans="5:5" ht="15.75" thickBot="1" x14ac:dyDescent="0.3">
      <c r="E574" s="17"/>
    </row>
    <row r="575" spans="5:5" ht="15.75" thickBot="1" x14ac:dyDescent="0.3">
      <c r="E575" s="17"/>
    </row>
    <row r="576" spans="5:5" ht="15.75" thickBot="1" x14ac:dyDescent="0.3">
      <c r="E576" s="17"/>
    </row>
    <row r="577" spans="5:5" ht="15.75" thickBot="1" x14ac:dyDescent="0.3">
      <c r="E577" s="17"/>
    </row>
    <row r="578" spans="5:5" ht="15.75" thickBot="1" x14ac:dyDescent="0.3">
      <c r="E578" s="17"/>
    </row>
    <row r="579" spans="5:5" ht="15.75" thickBot="1" x14ac:dyDescent="0.3">
      <c r="E579" s="17"/>
    </row>
    <row r="580" spans="5:5" ht="15.75" thickBot="1" x14ac:dyDescent="0.3">
      <c r="E580" s="17"/>
    </row>
    <row r="581" spans="5:5" ht="15.75" thickBot="1" x14ac:dyDescent="0.3">
      <c r="E581" s="17"/>
    </row>
    <row r="582" spans="5:5" ht="15.75" thickBot="1" x14ac:dyDescent="0.3">
      <c r="E582" s="17"/>
    </row>
    <row r="583" spans="5:5" ht="15.75" thickBot="1" x14ac:dyDescent="0.3">
      <c r="E583" s="17"/>
    </row>
    <row r="584" spans="5:5" ht="15.75" thickBot="1" x14ac:dyDescent="0.3">
      <c r="E584" s="17"/>
    </row>
    <row r="585" spans="5:5" ht="15.75" thickBot="1" x14ac:dyDescent="0.3">
      <c r="E585" s="17"/>
    </row>
    <row r="586" spans="5:5" ht="15.75" thickBot="1" x14ac:dyDescent="0.3">
      <c r="E586" s="17"/>
    </row>
    <row r="587" spans="5:5" ht="15.75" thickBot="1" x14ac:dyDescent="0.3">
      <c r="E587" s="17"/>
    </row>
    <row r="588" spans="5:5" ht="15.75" thickBot="1" x14ac:dyDescent="0.3">
      <c r="E588" s="17"/>
    </row>
    <row r="589" spans="5:5" ht="15.75" thickBot="1" x14ac:dyDescent="0.3">
      <c r="E589" s="17"/>
    </row>
    <row r="590" spans="5:5" ht="15.75" thickBot="1" x14ac:dyDescent="0.3">
      <c r="E590" s="17"/>
    </row>
    <row r="591" spans="5:5" ht="15.75" thickBot="1" x14ac:dyDescent="0.3">
      <c r="E591" s="17"/>
    </row>
    <row r="592" spans="5:5" ht="15.75" thickBot="1" x14ac:dyDescent="0.3">
      <c r="E592" s="17"/>
    </row>
    <row r="593" spans="5:5" ht="15.75" thickBot="1" x14ac:dyDescent="0.3">
      <c r="E593" s="17"/>
    </row>
    <row r="594" spans="5:5" ht="15.75" thickBot="1" x14ac:dyDescent="0.3">
      <c r="E594" s="17"/>
    </row>
    <row r="595" spans="5:5" ht="15.75" thickBot="1" x14ac:dyDescent="0.3">
      <c r="E595" s="17"/>
    </row>
    <row r="596" spans="5:5" ht="15.75" thickBot="1" x14ac:dyDescent="0.3">
      <c r="E596" s="17"/>
    </row>
    <row r="597" spans="5:5" ht="15.75" thickBot="1" x14ac:dyDescent="0.3">
      <c r="E597" s="17"/>
    </row>
    <row r="598" spans="5:5" ht="15.75" thickBot="1" x14ac:dyDescent="0.3">
      <c r="E598" s="17"/>
    </row>
    <row r="599" spans="5:5" ht="15.75" thickBot="1" x14ac:dyDescent="0.3">
      <c r="E599" s="17"/>
    </row>
    <row r="600" spans="5:5" ht="15.75" thickBot="1" x14ac:dyDescent="0.3">
      <c r="E600" s="17"/>
    </row>
    <row r="601" spans="5:5" ht="15.75" thickBot="1" x14ac:dyDescent="0.3">
      <c r="E601" s="17"/>
    </row>
    <row r="602" spans="5:5" ht="15.75" thickBot="1" x14ac:dyDescent="0.3">
      <c r="E602" s="17"/>
    </row>
    <row r="603" spans="5:5" ht="15.75" thickBot="1" x14ac:dyDescent="0.3">
      <c r="E603" s="17"/>
    </row>
    <row r="604" spans="5:5" ht="15.75" thickBot="1" x14ac:dyDescent="0.3">
      <c r="E604" s="17"/>
    </row>
    <row r="605" spans="5:5" ht="15.75" thickBot="1" x14ac:dyDescent="0.3">
      <c r="E605" s="17"/>
    </row>
    <row r="606" spans="5:5" ht="15.75" thickBot="1" x14ac:dyDescent="0.3">
      <c r="E606" s="17"/>
    </row>
    <row r="607" spans="5:5" ht="15.75" thickBot="1" x14ac:dyDescent="0.3">
      <c r="E607" s="17"/>
    </row>
    <row r="608" spans="5:5" ht="15.75" thickBot="1" x14ac:dyDescent="0.3">
      <c r="E608" s="17"/>
    </row>
    <row r="609" spans="5:5" ht="15.75" thickBot="1" x14ac:dyDescent="0.3">
      <c r="E609" s="17"/>
    </row>
    <row r="610" spans="5:5" ht="15.75" thickBot="1" x14ac:dyDescent="0.3">
      <c r="E610" s="17"/>
    </row>
    <row r="611" spans="5:5" ht="15.75" thickBot="1" x14ac:dyDescent="0.3">
      <c r="E611" s="17"/>
    </row>
    <row r="612" spans="5:5" ht="15.75" thickBot="1" x14ac:dyDescent="0.3">
      <c r="E612" s="17"/>
    </row>
    <row r="613" spans="5:5" ht="15.75" thickBot="1" x14ac:dyDescent="0.3">
      <c r="E613" s="17"/>
    </row>
    <row r="614" spans="5:5" ht="15.75" thickBot="1" x14ac:dyDescent="0.3">
      <c r="E614" s="17"/>
    </row>
    <row r="615" spans="5:5" ht="15.75" thickBot="1" x14ac:dyDescent="0.3">
      <c r="E615" s="17"/>
    </row>
    <row r="616" spans="5:5" ht="15.75" thickBot="1" x14ac:dyDescent="0.3">
      <c r="E616" s="17"/>
    </row>
    <row r="617" spans="5:5" ht="15.75" thickBot="1" x14ac:dyDescent="0.3">
      <c r="E617" s="17"/>
    </row>
    <row r="618" spans="5:5" ht="15.75" thickBot="1" x14ac:dyDescent="0.3">
      <c r="E618" s="17"/>
    </row>
    <row r="619" spans="5:5" ht="15.75" thickBot="1" x14ac:dyDescent="0.3">
      <c r="E619" s="17"/>
    </row>
    <row r="620" spans="5:5" ht="15.75" thickBot="1" x14ac:dyDescent="0.3">
      <c r="E620" s="17"/>
    </row>
    <row r="621" spans="5:5" ht="15.75" thickBot="1" x14ac:dyDescent="0.3">
      <c r="E621" s="17"/>
    </row>
    <row r="622" spans="5:5" ht="15.75" thickBot="1" x14ac:dyDescent="0.3">
      <c r="E622" s="17"/>
    </row>
    <row r="623" spans="5:5" ht="15.75" thickBot="1" x14ac:dyDescent="0.3">
      <c r="E623" s="17"/>
    </row>
    <row r="624" spans="5:5" ht="15.75" thickBot="1" x14ac:dyDescent="0.3">
      <c r="E624" s="17"/>
    </row>
    <row r="625" spans="5:5" ht="15.75" thickBot="1" x14ac:dyDescent="0.3">
      <c r="E625" s="17"/>
    </row>
    <row r="626" spans="5:5" ht="15.75" thickBot="1" x14ac:dyDescent="0.3">
      <c r="E626" s="17"/>
    </row>
    <row r="627" spans="5:5" ht="15.75" thickBot="1" x14ac:dyDescent="0.3">
      <c r="E627" s="17"/>
    </row>
    <row r="628" spans="5:5" ht="15.75" thickBot="1" x14ac:dyDescent="0.3">
      <c r="E628" s="17"/>
    </row>
    <row r="629" spans="5:5" ht="15.75" thickBot="1" x14ac:dyDescent="0.3">
      <c r="E629" s="17"/>
    </row>
    <row r="630" spans="5:5" ht="15.75" thickBot="1" x14ac:dyDescent="0.3">
      <c r="E630" s="17"/>
    </row>
    <row r="631" spans="5:5" ht="15.75" thickBot="1" x14ac:dyDescent="0.3">
      <c r="E631" s="17"/>
    </row>
    <row r="632" spans="5:5" ht="15.75" thickBot="1" x14ac:dyDescent="0.3">
      <c r="E632" s="17"/>
    </row>
    <row r="633" spans="5:5" ht="15.75" thickBot="1" x14ac:dyDescent="0.3">
      <c r="E633" s="17"/>
    </row>
    <row r="634" spans="5:5" ht="15.75" thickBot="1" x14ac:dyDescent="0.3">
      <c r="E634" s="17"/>
    </row>
    <row r="635" spans="5:5" ht="15.75" thickBot="1" x14ac:dyDescent="0.3">
      <c r="E635" s="17"/>
    </row>
    <row r="636" spans="5:5" ht="15.75" thickBot="1" x14ac:dyDescent="0.3">
      <c r="E636" s="17"/>
    </row>
    <row r="637" spans="5:5" ht="15.75" thickBot="1" x14ac:dyDescent="0.3">
      <c r="E637" s="17"/>
    </row>
    <row r="638" spans="5:5" ht="15.75" thickBot="1" x14ac:dyDescent="0.3">
      <c r="E638" s="17"/>
    </row>
    <row r="639" spans="5:5" ht="15.75" thickBot="1" x14ac:dyDescent="0.3">
      <c r="E639" s="17"/>
    </row>
    <row r="640" spans="5:5" ht="15.75" thickBot="1" x14ac:dyDescent="0.3">
      <c r="E640" s="17"/>
    </row>
    <row r="641" spans="5:5" ht="15.75" thickBot="1" x14ac:dyDescent="0.3">
      <c r="E641" s="17"/>
    </row>
    <row r="642" spans="5:5" ht="15.75" thickBot="1" x14ac:dyDescent="0.3">
      <c r="E642" s="17"/>
    </row>
    <row r="643" spans="5:5" ht="15.75" thickBot="1" x14ac:dyDescent="0.3">
      <c r="E643" s="17"/>
    </row>
    <row r="644" spans="5:5" ht="15.75" thickBot="1" x14ac:dyDescent="0.3">
      <c r="E644" s="17"/>
    </row>
    <row r="645" spans="5:5" ht="15.75" thickBot="1" x14ac:dyDescent="0.3">
      <c r="E645" s="17"/>
    </row>
    <row r="646" spans="5:5" ht="15.75" thickBot="1" x14ac:dyDescent="0.3">
      <c r="E646" s="17"/>
    </row>
    <row r="647" spans="5:5" ht="15.75" thickBot="1" x14ac:dyDescent="0.3">
      <c r="E647" s="17"/>
    </row>
    <row r="648" spans="5:5" ht="15.75" thickBot="1" x14ac:dyDescent="0.3">
      <c r="E648" s="17"/>
    </row>
    <row r="649" spans="5:5" ht="15.75" thickBot="1" x14ac:dyDescent="0.3">
      <c r="E649" s="17"/>
    </row>
    <row r="650" spans="5:5" ht="15.75" thickBot="1" x14ac:dyDescent="0.3">
      <c r="E650" s="17"/>
    </row>
    <row r="651" spans="5:5" ht="15.75" thickBot="1" x14ac:dyDescent="0.3">
      <c r="E651" s="17"/>
    </row>
    <row r="652" spans="5:5" ht="15.75" thickBot="1" x14ac:dyDescent="0.3">
      <c r="E652" s="17"/>
    </row>
    <row r="653" spans="5:5" ht="15.75" thickBot="1" x14ac:dyDescent="0.3">
      <c r="E653" s="17"/>
    </row>
    <row r="654" spans="5:5" ht="15.75" thickBot="1" x14ac:dyDescent="0.3">
      <c r="E654" s="17"/>
    </row>
    <row r="655" spans="5:5" ht="15.75" thickBot="1" x14ac:dyDescent="0.3">
      <c r="E655" s="17"/>
    </row>
    <row r="656" spans="5:5" ht="15.75" thickBot="1" x14ac:dyDescent="0.3">
      <c r="E656" s="17"/>
    </row>
    <row r="657" spans="5:5" ht="15.75" thickBot="1" x14ac:dyDescent="0.3">
      <c r="E657" s="17"/>
    </row>
    <row r="658" spans="5:5" ht="15.75" thickBot="1" x14ac:dyDescent="0.3">
      <c r="E658" s="17"/>
    </row>
    <row r="659" spans="5:5" ht="15.75" thickBot="1" x14ac:dyDescent="0.3">
      <c r="E659" s="17"/>
    </row>
    <row r="660" spans="5:5" ht="15.75" thickBot="1" x14ac:dyDescent="0.3">
      <c r="E660" s="17"/>
    </row>
    <row r="661" spans="5:5" ht="15.75" thickBot="1" x14ac:dyDescent="0.3">
      <c r="E661" s="17"/>
    </row>
    <row r="662" spans="5:5" ht="15.75" thickBot="1" x14ac:dyDescent="0.3">
      <c r="E662" s="17"/>
    </row>
    <row r="663" spans="5:5" ht="15.75" thickBot="1" x14ac:dyDescent="0.3">
      <c r="E663" s="17"/>
    </row>
    <row r="664" spans="5:5" ht="15.75" thickBot="1" x14ac:dyDescent="0.3">
      <c r="E664" s="17"/>
    </row>
    <row r="665" spans="5:5" ht="15.75" thickBot="1" x14ac:dyDescent="0.3">
      <c r="E665" s="17"/>
    </row>
    <row r="666" spans="5:5" ht="15.75" thickBot="1" x14ac:dyDescent="0.3">
      <c r="E666" s="17"/>
    </row>
    <row r="667" spans="5:5" ht="15.75" thickBot="1" x14ac:dyDescent="0.3">
      <c r="E667" s="17"/>
    </row>
    <row r="668" spans="5:5" ht="15.75" thickBot="1" x14ac:dyDescent="0.3">
      <c r="E668" s="17"/>
    </row>
    <row r="669" spans="5:5" ht="15.75" thickBot="1" x14ac:dyDescent="0.3">
      <c r="E669" s="17"/>
    </row>
    <row r="670" spans="5:5" ht="15.75" thickBot="1" x14ac:dyDescent="0.3">
      <c r="E670" s="17"/>
    </row>
    <row r="671" spans="5:5" ht="15.75" thickBot="1" x14ac:dyDescent="0.3">
      <c r="E671" s="17"/>
    </row>
    <row r="672" spans="5:5" ht="15.75" thickBot="1" x14ac:dyDescent="0.3">
      <c r="E672" s="17"/>
    </row>
    <row r="673" spans="5:5" ht="15.75" thickBot="1" x14ac:dyDescent="0.3">
      <c r="E673" s="17"/>
    </row>
    <row r="674" spans="5:5" ht="15.75" thickBot="1" x14ac:dyDescent="0.3">
      <c r="E674" s="17"/>
    </row>
    <row r="675" spans="5:5" ht="15.75" thickBot="1" x14ac:dyDescent="0.3">
      <c r="E675" s="17"/>
    </row>
    <row r="676" spans="5:5" ht="15.75" thickBot="1" x14ac:dyDescent="0.3">
      <c r="E676" s="17"/>
    </row>
    <row r="677" spans="5:5" ht="15.75" thickBot="1" x14ac:dyDescent="0.3">
      <c r="E677" s="17"/>
    </row>
    <row r="678" spans="5:5" ht="15.75" thickBot="1" x14ac:dyDescent="0.3">
      <c r="E678" s="17"/>
    </row>
    <row r="679" spans="5:5" ht="15.75" thickBot="1" x14ac:dyDescent="0.3">
      <c r="E679" s="17"/>
    </row>
    <row r="680" spans="5:5" ht="15.75" thickBot="1" x14ac:dyDescent="0.3">
      <c r="E680" s="17"/>
    </row>
    <row r="681" spans="5:5" ht="15.75" thickBot="1" x14ac:dyDescent="0.3">
      <c r="E681" s="17"/>
    </row>
    <row r="682" spans="5:5" ht="15.75" thickBot="1" x14ac:dyDescent="0.3">
      <c r="E682" s="17"/>
    </row>
    <row r="683" spans="5:5" ht="15.75" thickBot="1" x14ac:dyDescent="0.3">
      <c r="E683" s="17"/>
    </row>
    <row r="684" spans="5:5" ht="15.75" thickBot="1" x14ac:dyDescent="0.3">
      <c r="E684" s="17"/>
    </row>
    <row r="685" spans="5:5" ht="15.75" thickBot="1" x14ac:dyDescent="0.3">
      <c r="E685" s="17"/>
    </row>
    <row r="686" spans="5:5" ht="15.75" thickBot="1" x14ac:dyDescent="0.3">
      <c r="E686" s="17"/>
    </row>
    <row r="687" spans="5:5" ht="15.75" thickBot="1" x14ac:dyDescent="0.3">
      <c r="E687" s="17"/>
    </row>
    <row r="688" spans="5:5" ht="15.75" thickBot="1" x14ac:dyDescent="0.3">
      <c r="E688" s="17"/>
    </row>
    <row r="689" spans="5:5" ht="15.75" thickBot="1" x14ac:dyDescent="0.3">
      <c r="E689" s="17"/>
    </row>
    <row r="690" spans="5:5" ht="15.75" thickBot="1" x14ac:dyDescent="0.3">
      <c r="E690" s="17"/>
    </row>
    <row r="691" spans="5:5" ht="15.75" thickBot="1" x14ac:dyDescent="0.3">
      <c r="E691" s="17"/>
    </row>
    <row r="692" spans="5:5" ht="15.75" thickBot="1" x14ac:dyDescent="0.3">
      <c r="E692" s="17"/>
    </row>
    <row r="693" spans="5:5" ht="15.75" thickBot="1" x14ac:dyDescent="0.3">
      <c r="E693" s="17"/>
    </row>
    <row r="694" spans="5:5" ht="15.75" thickBot="1" x14ac:dyDescent="0.3">
      <c r="E694" s="17"/>
    </row>
    <row r="695" spans="5:5" ht="15.75" thickBot="1" x14ac:dyDescent="0.3">
      <c r="E695" s="17"/>
    </row>
    <row r="696" spans="5:5" ht="15.75" thickBot="1" x14ac:dyDescent="0.3">
      <c r="E696" s="17"/>
    </row>
    <row r="697" spans="5:5" ht="15.75" thickBot="1" x14ac:dyDescent="0.3">
      <c r="E697" s="17"/>
    </row>
    <row r="698" spans="5:5" ht="15.75" thickBot="1" x14ac:dyDescent="0.3">
      <c r="E698" s="17"/>
    </row>
    <row r="699" spans="5:5" ht="15.75" thickBot="1" x14ac:dyDescent="0.3">
      <c r="E699" s="17"/>
    </row>
    <row r="700" spans="5:5" ht="15.75" thickBot="1" x14ac:dyDescent="0.3">
      <c r="E700" s="17"/>
    </row>
    <row r="701" spans="5:5" ht="15.75" thickBot="1" x14ac:dyDescent="0.3">
      <c r="E701" s="17"/>
    </row>
    <row r="702" spans="5:5" ht="15.75" thickBot="1" x14ac:dyDescent="0.3">
      <c r="E702" s="17"/>
    </row>
    <row r="703" spans="5:5" ht="15.75" thickBot="1" x14ac:dyDescent="0.3">
      <c r="E703" s="17"/>
    </row>
    <row r="704" spans="5:5" ht="15.75" thickBot="1" x14ac:dyDescent="0.3">
      <c r="E704" s="17"/>
    </row>
    <row r="705" spans="5:5" ht="15.75" thickBot="1" x14ac:dyDescent="0.3">
      <c r="E705" s="17"/>
    </row>
    <row r="706" spans="5:5" ht="15.75" thickBot="1" x14ac:dyDescent="0.3">
      <c r="E706" s="17"/>
    </row>
    <row r="707" spans="5:5" ht="15.75" thickBot="1" x14ac:dyDescent="0.3">
      <c r="E707" s="17"/>
    </row>
    <row r="708" spans="5:5" ht="15.75" thickBot="1" x14ac:dyDescent="0.3">
      <c r="E708" s="17"/>
    </row>
    <row r="709" spans="5:5" ht="15.75" thickBot="1" x14ac:dyDescent="0.3">
      <c r="E709" s="17"/>
    </row>
    <row r="710" spans="5:5" ht="15.75" thickBot="1" x14ac:dyDescent="0.3">
      <c r="E710" s="17"/>
    </row>
    <row r="711" spans="5:5" ht="15.75" thickBot="1" x14ac:dyDescent="0.3">
      <c r="E711" s="17"/>
    </row>
    <row r="712" spans="5:5" ht="15.75" thickBot="1" x14ac:dyDescent="0.3">
      <c r="E712" s="17"/>
    </row>
    <row r="713" spans="5:5" ht="15.75" thickBot="1" x14ac:dyDescent="0.3">
      <c r="E713" s="17"/>
    </row>
    <row r="714" spans="5:5" ht="15.75" thickBot="1" x14ac:dyDescent="0.3">
      <c r="E714" s="17"/>
    </row>
    <row r="715" spans="5:5" ht="15.75" thickBot="1" x14ac:dyDescent="0.3">
      <c r="E715" s="17"/>
    </row>
    <row r="716" spans="5:5" ht="15.75" thickBot="1" x14ac:dyDescent="0.3">
      <c r="E716" s="17"/>
    </row>
    <row r="717" spans="5:5" ht="15.75" thickBot="1" x14ac:dyDescent="0.3">
      <c r="E717" s="17"/>
    </row>
    <row r="718" spans="5:5" ht="15.75" thickBot="1" x14ac:dyDescent="0.3">
      <c r="E718" s="17"/>
    </row>
    <row r="719" spans="5:5" ht="15.75" thickBot="1" x14ac:dyDescent="0.3">
      <c r="E719" s="17"/>
    </row>
    <row r="720" spans="5:5" ht="15.75" thickBot="1" x14ac:dyDescent="0.3">
      <c r="E720" s="17"/>
    </row>
    <row r="721" spans="5:5" ht="15.75" thickBot="1" x14ac:dyDescent="0.3">
      <c r="E721" s="17"/>
    </row>
    <row r="722" spans="5:5" ht="15.75" thickBot="1" x14ac:dyDescent="0.3">
      <c r="E722" s="17"/>
    </row>
    <row r="723" spans="5:5" ht="15.75" thickBot="1" x14ac:dyDescent="0.3">
      <c r="E723" s="17"/>
    </row>
    <row r="724" spans="5:5" ht="15.75" thickBot="1" x14ac:dyDescent="0.3">
      <c r="E724" s="17"/>
    </row>
    <row r="725" spans="5:5" ht="15.75" thickBot="1" x14ac:dyDescent="0.3">
      <c r="E725" s="17"/>
    </row>
    <row r="726" spans="5:5" ht="15.75" thickBot="1" x14ac:dyDescent="0.3">
      <c r="E726" s="17"/>
    </row>
    <row r="727" spans="5:5" ht="15.75" thickBot="1" x14ac:dyDescent="0.3">
      <c r="E727" s="17"/>
    </row>
    <row r="728" spans="5:5" ht="15.75" thickBot="1" x14ac:dyDescent="0.3">
      <c r="E728" s="17"/>
    </row>
    <row r="729" spans="5:5" ht="15.75" thickBot="1" x14ac:dyDescent="0.3">
      <c r="E729" s="17"/>
    </row>
    <row r="730" spans="5:5" ht="15.75" thickBot="1" x14ac:dyDescent="0.3">
      <c r="E730" s="17"/>
    </row>
    <row r="731" spans="5:5" ht="15.75" thickBot="1" x14ac:dyDescent="0.3">
      <c r="E731" s="17"/>
    </row>
    <row r="732" spans="5:5" ht="15.75" thickBot="1" x14ac:dyDescent="0.3">
      <c r="E732" s="17"/>
    </row>
    <row r="733" spans="5:5" ht="15.75" thickBot="1" x14ac:dyDescent="0.3">
      <c r="E733" s="17"/>
    </row>
    <row r="734" spans="5:5" ht="15.75" thickBot="1" x14ac:dyDescent="0.3">
      <c r="E734" s="17"/>
    </row>
    <row r="735" spans="5:5" ht="15.75" thickBot="1" x14ac:dyDescent="0.3">
      <c r="E735" s="17"/>
    </row>
    <row r="736" spans="5:5" ht="15.75" thickBot="1" x14ac:dyDescent="0.3">
      <c r="E736" s="17"/>
    </row>
    <row r="737" spans="5:5" ht="15.75" thickBot="1" x14ac:dyDescent="0.3">
      <c r="E737" s="17"/>
    </row>
    <row r="738" spans="5:5" ht="15.75" thickBot="1" x14ac:dyDescent="0.3">
      <c r="E738" s="17"/>
    </row>
    <row r="739" spans="5:5" ht="15.75" thickBot="1" x14ac:dyDescent="0.3">
      <c r="E739" s="17"/>
    </row>
    <row r="740" spans="5:5" ht="15.75" thickBot="1" x14ac:dyDescent="0.3">
      <c r="E740" s="17"/>
    </row>
    <row r="741" spans="5:5" ht="15.75" thickBot="1" x14ac:dyDescent="0.3">
      <c r="E741" s="17"/>
    </row>
    <row r="742" spans="5:5" ht="15.75" thickBot="1" x14ac:dyDescent="0.3">
      <c r="E742" s="17"/>
    </row>
    <row r="743" spans="5:5" ht="15.75" thickBot="1" x14ac:dyDescent="0.3">
      <c r="E743" s="17"/>
    </row>
    <row r="744" spans="5:5" ht="15.75" thickBot="1" x14ac:dyDescent="0.3">
      <c r="E744" s="17"/>
    </row>
    <row r="745" spans="5:5" ht="15.75" thickBot="1" x14ac:dyDescent="0.3">
      <c r="E745" s="17"/>
    </row>
    <row r="746" spans="5:5" ht="15.75" thickBot="1" x14ac:dyDescent="0.3">
      <c r="E746" s="17"/>
    </row>
    <row r="747" spans="5:5" ht="15.75" thickBot="1" x14ac:dyDescent="0.3">
      <c r="E747" s="17"/>
    </row>
    <row r="748" spans="5:5" ht="15.75" thickBot="1" x14ac:dyDescent="0.3">
      <c r="E748" s="17"/>
    </row>
    <row r="749" spans="5:5" ht="15.75" thickBot="1" x14ac:dyDescent="0.3">
      <c r="E749" s="17"/>
    </row>
    <row r="750" spans="5:5" ht="15.75" thickBot="1" x14ac:dyDescent="0.3">
      <c r="E750" s="17"/>
    </row>
    <row r="751" spans="5:5" ht="15.75" thickBot="1" x14ac:dyDescent="0.3">
      <c r="E751" s="17"/>
    </row>
    <row r="752" spans="5:5" ht="15.75" thickBot="1" x14ac:dyDescent="0.3">
      <c r="E752" s="17"/>
    </row>
    <row r="753" spans="5:5" ht="15.75" thickBot="1" x14ac:dyDescent="0.3">
      <c r="E753" s="17"/>
    </row>
    <row r="754" spans="5:5" ht="15.75" thickBot="1" x14ac:dyDescent="0.3">
      <c r="E754" s="17"/>
    </row>
    <row r="755" spans="5:5" ht="15.75" thickBot="1" x14ac:dyDescent="0.3">
      <c r="E755" s="17"/>
    </row>
    <row r="756" spans="5:5" ht="15.75" thickBot="1" x14ac:dyDescent="0.3">
      <c r="E756" s="17"/>
    </row>
    <row r="757" spans="5:5" ht="15.75" thickBot="1" x14ac:dyDescent="0.3">
      <c r="E757" s="17"/>
    </row>
    <row r="758" spans="5:5" ht="15.75" thickBot="1" x14ac:dyDescent="0.3">
      <c r="E758" s="17"/>
    </row>
    <row r="759" spans="5:5" ht="15.75" thickBot="1" x14ac:dyDescent="0.3">
      <c r="E759" s="17"/>
    </row>
    <row r="760" spans="5:5" ht="15.75" thickBot="1" x14ac:dyDescent="0.3">
      <c r="E760" s="17"/>
    </row>
    <row r="761" spans="5:5" ht="15.75" thickBot="1" x14ac:dyDescent="0.3">
      <c r="E761" s="17"/>
    </row>
    <row r="762" spans="5:5" ht="15.75" thickBot="1" x14ac:dyDescent="0.3">
      <c r="E762" s="17"/>
    </row>
    <row r="763" spans="5:5" ht="15.75" thickBot="1" x14ac:dyDescent="0.3">
      <c r="E763" s="17"/>
    </row>
    <row r="764" spans="5:5" ht="15.75" thickBot="1" x14ac:dyDescent="0.3">
      <c r="E764" s="17"/>
    </row>
    <row r="765" spans="5:5" ht="15.75" thickBot="1" x14ac:dyDescent="0.3">
      <c r="E765" s="17"/>
    </row>
    <row r="766" spans="5:5" ht="15.75" thickBot="1" x14ac:dyDescent="0.3">
      <c r="E766" s="17"/>
    </row>
    <row r="767" spans="5:5" ht="15.75" thickBot="1" x14ac:dyDescent="0.3">
      <c r="E767" s="17"/>
    </row>
    <row r="768" spans="5:5" ht="15.75" thickBot="1" x14ac:dyDescent="0.3">
      <c r="E768" s="17"/>
    </row>
    <row r="769" spans="5:5" ht="15.75" thickBot="1" x14ac:dyDescent="0.3">
      <c r="E769" s="17"/>
    </row>
    <row r="770" spans="5:5" ht="15.75" thickBot="1" x14ac:dyDescent="0.3">
      <c r="E770" s="17"/>
    </row>
    <row r="771" spans="5:5" ht="15.75" thickBot="1" x14ac:dyDescent="0.3">
      <c r="E771" s="17"/>
    </row>
    <row r="772" spans="5:5" ht="15.75" thickBot="1" x14ac:dyDescent="0.3">
      <c r="E772" s="17"/>
    </row>
    <row r="773" spans="5:5" ht="15.75" thickBot="1" x14ac:dyDescent="0.3">
      <c r="E773" s="17"/>
    </row>
    <row r="774" spans="5:5" ht="15.75" thickBot="1" x14ac:dyDescent="0.3">
      <c r="E774" s="17"/>
    </row>
    <row r="775" spans="5:5" ht="15.75" thickBot="1" x14ac:dyDescent="0.3">
      <c r="E775" s="17"/>
    </row>
    <row r="776" spans="5:5" ht="15.75" thickBot="1" x14ac:dyDescent="0.3">
      <c r="E776" s="17"/>
    </row>
    <row r="777" spans="5:5" ht="15.75" thickBot="1" x14ac:dyDescent="0.3">
      <c r="E777" s="17"/>
    </row>
    <row r="778" spans="5:5" ht="15.75" thickBot="1" x14ac:dyDescent="0.3">
      <c r="E778" s="17"/>
    </row>
    <row r="779" spans="5:5" ht="15.75" thickBot="1" x14ac:dyDescent="0.3">
      <c r="E779" s="17"/>
    </row>
    <row r="780" spans="5:5" ht="15.75" thickBot="1" x14ac:dyDescent="0.3">
      <c r="E780" s="17"/>
    </row>
    <row r="781" spans="5:5" ht="15.75" thickBot="1" x14ac:dyDescent="0.3">
      <c r="E781" s="17"/>
    </row>
    <row r="782" spans="5:5" ht="15.75" thickBot="1" x14ac:dyDescent="0.3">
      <c r="E782" s="17"/>
    </row>
    <row r="783" spans="5:5" ht="15.75" thickBot="1" x14ac:dyDescent="0.3">
      <c r="E783" s="17"/>
    </row>
    <row r="784" spans="5:5" ht="15.75" thickBot="1" x14ac:dyDescent="0.3">
      <c r="E784" s="17"/>
    </row>
    <row r="785" spans="5:5" ht="15.75" thickBot="1" x14ac:dyDescent="0.3">
      <c r="E785" s="17"/>
    </row>
    <row r="786" spans="5:5" ht="15.75" thickBot="1" x14ac:dyDescent="0.3">
      <c r="E786" s="17"/>
    </row>
    <row r="787" spans="5:5" ht="15.75" thickBot="1" x14ac:dyDescent="0.3">
      <c r="E787" s="17"/>
    </row>
    <row r="788" spans="5:5" ht="15.75" thickBot="1" x14ac:dyDescent="0.3">
      <c r="E788" s="17"/>
    </row>
    <row r="789" spans="5:5" ht="15.75" thickBot="1" x14ac:dyDescent="0.3">
      <c r="E789" s="17"/>
    </row>
    <row r="790" spans="5:5" ht="15.75" thickBot="1" x14ac:dyDescent="0.3">
      <c r="E790" s="17"/>
    </row>
    <row r="791" spans="5:5" ht="15.75" thickBot="1" x14ac:dyDescent="0.3">
      <c r="E791" s="17"/>
    </row>
    <row r="792" spans="5:5" ht="15.75" thickBot="1" x14ac:dyDescent="0.3">
      <c r="E792" s="17"/>
    </row>
    <row r="793" spans="5:5" ht="15.75" thickBot="1" x14ac:dyDescent="0.3">
      <c r="E793" s="17"/>
    </row>
    <row r="794" spans="5:5" ht="15.75" thickBot="1" x14ac:dyDescent="0.3">
      <c r="E794" s="17"/>
    </row>
    <row r="795" spans="5:5" ht="15.75" thickBot="1" x14ac:dyDescent="0.3">
      <c r="E795" s="17"/>
    </row>
    <row r="796" spans="5:5" ht="15.75" thickBot="1" x14ac:dyDescent="0.3">
      <c r="E796" s="17"/>
    </row>
    <row r="797" spans="5:5" ht="15.75" thickBot="1" x14ac:dyDescent="0.3">
      <c r="E797" s="17"/>
    </row>
    <row r="798" spans="5:5" ht="15.75" thickBot="1" x14ac:dyDescent="0.3">
      <c r="E798" s="17"/>
    </row>
    <row r="799" spans="5:5" ht="15.75" thickBot="1" x14ac:dyDescent="0.3">
      <c r="E799" s="17"/>
    </row>
    <row r="800" spans="5:5" ht="15.75" thickBot="1" x14ac:dyDescent="0.3">
      <c r="E800" s="17"/>
    </row>
    <row r="801" spans="5:5" ht="15.75" thickBot="1" x14ac:dyDescent="0.3">
      <c r="E801" s="17"/>
    </row>
    <row r="802" spans="5:5" ht="15.75" thickBot="1" x14ac:dyDescent="0.3">
      <c r="E802" s="17"/>
    </row>
    <row r="803" spans="5:5" ht="15.75" thickBot="1" x14ac:dyDescent="0.3">
      <c r="E803" s="17"/>
    </row>
    <row r="804" spans="5:5" ht="15.75" thickBot="1" x14ac:dyDescent="0.3">
      <c r="E804" s="17"/>
    </row>
    <row r="805" spans="5:5" ht="15.75" thickBot="1" x14ac:dyDescent="0.3">
      <c r="E805" s="17"/>
    </row>
    <row r="806" spans="5:5" ht="15.75" thickBot="1" x14ac:dyDescent="0.3">
      <c r="E806" s="17"/>
    </row>
    <row r="807" spans="5:5" ht="15.75" thickBot="1" x14ac:dyDescent="0.3">
      <c r="E807" s="17"/>
    </row>
    <row r="808" spans="5:5" ht="15.75" thickBot="1" x14ac:dyDescent="0.3">
      <c r="E808" s="17"/>
    </row>
    <row r="809" spans="5:5" ht="15.75" thickBot="1" x14ac:dyDescent="0.3">
      <c r="E809" s="17"/>
    </row>
    <row r="810" spans="5:5" ht="15.75" thickBot="1" x14ac:dyDescent="0.3">
      <c r="E810" s="17"/>
    </row>
    <row r="811" spans="5:5" ht="15.75" thickBot="1" x14ac:dyDescent="0.3">
      <c r="E811" s="17"/>
    </row>
    <row r="812" spans="5:5" ht="15.75" thickBot="1" x14ac:dyDescent="0.3">
      <c r="E812" s="17"/>
    </row>
    <row r="813" spans="5:5" ht="15.75" thickBot="1" x14ac:dyDescent="0.3">
      <c r="E813" s="17"/>
    </row>
    <row r="814" spans="5:5" ht="15.75" thickBot="1" x14ac:dyDescent="0.3">
      <c r="E814" s="17"/>
    </row>
    <row r="815" spans="5:5" ht="15.75" thickBot="1" x14ac:dyDescent="0.3">
      <c r="E815" s="17"/>
    </row>
    <row r="816" spans="5:5" ht="15.75" thickBot="1" x14ac:dyDescent="0.3">
      <c r="E816" s="17"/>
    </row>
    <row r="817" spans="5:5" ht="15.75" thickBot="1" x14ac:dyDescent="0.3">
      <c r="E817" s="17"/>
    </row>
    <row r="818" spans="5:5" ht="15.75" thickBot="1" x14ac:dyDescent="0.3">
      <c r="E818" s="17"/>
    </row>
    <row r="819" spans="5:5" ht="15.75" thickBot="1" x14ac:dyDescent="0.3">
      <c r="E819" s="17"/>
    </row>
    <row r="820" spans="5:5" ht="15.75" thickBot="1" x14ac:dyDescent="0.3">
      <c r="E820" s="17"/>
    </row>
    <row r="821" spans="5:5" ht="15.75" thickBot="1" x14ac:dyDescent="0.3">
      <c r="E821" s="17"/>
    </row>
    <row r="822" spans="5:5" ht="15.75" thickBot="1" x14ac:dyDescent="0.3">
      <c r="E822" s="17"/>
    </row>
    <row r="823" spans="5:5" ht="15.75" thickBot="1" x14ac:dyDescent="0.3">
      <c r="E823" s="17"/>
    </row>
    <row r="824" spans="5:5" ht="15.75" thickBot="1" x14ac:dyDescent="0.3">
      <c r="E824" s="17"/>
    </row>
    <row r="825" spans="5:5" ht="15.75" thickBot="1" x14ac:dyDescent="0.3">
      <c r="E825" s="17"/>
    </row>
    <row r="826" spans="5:5" ht="15.75" thickBot="1" x14ac:dyDescent="0.3">
      <c r="E826" s="17"/>
    </row>
    <row r="827" spans="5:5" ht="15.75" thickBot="1" x14ac:dyDescent="0.3">
      <c r="E827" s="17"/>
    </row>
    <row r="828" spans="5:5" ht="15.75" thickBot="1" x14ac:dyDescent="0.3">
      <c r="E828" s="17"/>
    </row>
    <row r="829" spans="5:5" ht="15.75" thickBot="1" x14ac:dyDescent="0.3">
      <c r="E829" s="17"/>
    </row>
    <row r="830" spans="5:5" ht="15.75" thickBot="1" x14ac:dyDescent="0.3">
      <c r="E830" s="17"/>
    </row>
    <row r="831" spans="5:5" ht="15.75" thickBot="1" x14ac:dyDescent="0.3">
      <c r="E831" s="17"/>
    </row>
    <row r="832" spans="5:5" ht="15.75" thickBot="1" x14ac:dyDescent="0.3">
      <c r="E832" s="17"/>
    </row>
    <row r="833" spans="5:5" ht="15.75" thickBot="1" x14ac:dyDescent="0.3">
      <c r="E833" s="17"/>
    </row>
    <row r="834" spans="5:5" ht="15.75" thickBot="1" x14ac:dyDescent="0.3">
      <c r="E834" s="17"/>
    </row>
    <row r="835" spans="5:5" ht="15.75" thickBot="1" x14ac:dyDescent="0.3">
      <c r="E835" s="17"/>
    </row>
    <row r="836" spans="5:5" ht="15.75" thickBot="1" x14ac:dyDescent="0.3">
      <c r="E836" s="17"/>
    </row>
    <row r="837" spans="5:5" ht="15.75" thickBot="1" x14ac:dyDescent="0.3">
      <c r="E837" s="17"/>
    </row>
    <row r="838" spans="5:5" ht="15.75" thickBot="1" x14ac:dyDescent="0.3">
      <c r="E838" s="17"/>
    </row>
    <row r="839" spans="5:5" ht="15.75" thickBot="1" x14ac:dyDescent="0.3">
      <c r="E839" s="17"/>
    </row>
    <row r="840" spans="5:5" ht="15.75" thickBot="1" x14ac:dyDescent="0.3">
      <c r="E840" s="17"/>
    </row>
    <row r="841" spans="5:5" ht="15.75" thickBot="1" x14ac:dyDescent="0.3">
      <c r="E841" s="17"/>
    </row>
    <row r="842" spans="5:5" ht="15.75" thickBot="1" x14ac:dyDescent="0.3">
      <c r="E842" s="17"/>
    </row>
    <row r="843" spans="5:5" ht="15.75" thickBot="1" x14ac:dyDescent="0.3">
      <c r="E843" s="17"/>
    </row>
    <row r="844" spans="5:5" ht="15.75" thickBot="1" x14ac:dyDescent="0.3">
      <c r="E844" s="17"/>
    </row>
    <row r="845" spans="5:5" ht="15.75" thickBot="1" x14ac:dyDescent="0.3">
      <c r="E845" s="17"/>
    </row>
    <row r="846" spans="5:5" ht="15.75" thickBot="1" x14ac:dyDescent="0.3">
      <c r="E846" s="17"/>
    </row>
    <row r="847" spans="5:5" ht="15.75" thickBot="1" x14ac:dyDescent="0.3">
      <c r="E847" s="17"/>
    </row>
    <row r="848" spans="5:5" ht="15.75" thickBot="1" x14ac:dyDescent="0.3">
      <c r="E848" s="17"/>
    </row>
    <row r="849" spans="5:5" ht="15.75" thickBot="1" x14ac:dyDescent="0.3">
      <c r="E849" s="17"/>
    </row>
    <row r="850" spans="5:5" ht="15.75" thickBot="1" x14ac:dyDescent="0.3">
      <c r="E850" s="17"/>
    </row>
    <row r="851" spans="5:5" ht="15.75" thickBot="1" x14ac:dyDescent="0.3">
      <c r="E851" s="17"/>
    </row>
    <row r="852" spans="5:5" ht="15.75" thickBot="1" x14ac:dyDescent="0.3">
      <c r="E852" s="17"/>
    </row>
    <row r="853" spans="5:5" ht="15.75" thickBot="1" x14ac:dyDescent="0.3">
      <c r="E853" s="17"/>
    </row>
    <row r="854" spans="5:5" ht="15.75" thickBot="1" x14ac:dyDescent="0.3">
      <c r="E854" s="17"/>
    </row>
    <row r="855" spans="5:5" ht="15.75" thickBot="1" x14ac:dyDescent="0.3">
      <c r="E855" s="17"/>
    </row>
    <row r="856" spans="5:5" ht="15.75" thickBot="1" x14ac:dyDescent="0.3">
      <c r="E856" s="17"/>
    </row>
    <row r="857" spans="5:5" ht="15.75" thickBot="1" x14ac:dyDescent="0.3">
      <c r="E857" s="17"/>
    </row>
    <row r="858" spans="5:5" ht="15.75" thickBot="1" x14ac:dyDescent="0.3">
      <c r="E858" s="17"/>
    </row>
    <row r="859" spans="5:5" ht="15.75" thickBot="1" x14ac:dyDescent="0.3">
      <c r="E859" s="17"/>
    </row>
    <row r="860" spans="5:5" ht="15.75" thickBot="1" x14ac:dyDescent="0.3">
      <c r="E860" s="17"/>
    </row>
    <row r="861" spans="5:5" ht="15.75" thickBot="1" x14ac:dyDescent="0.3">
      <c r="E861" s="17"/>
    </row>
    <row r="862" spans="5:5" ht="15.75" thickBot="1" x14ac:dyDescent="0.3">
      <c r="E862" s="17"/>
    </row>
    <row r="863" spans="5:5" ht="15.75" thickBot="1" x14ac:dyDescent="0.3">
      <c r="E863" s="17"/>
    </row>
    <row r="864" spans="5:5" ht="15.75" thickBot="1" x14ac:dyDescent="0.3">
      <c r="E864" s="17"/>
    </row>
    <row r="865" spans="5:5" ht="15.75" thickBot="1" x14ac:dyDescent="0.3">
      <c r="E865" s="17"/>
    </row>
    <row r="866" spans="5:5" ht="15.75" thickBot="1" x14ac:dyDescent="0.3">
      <c r="E866" s="17"/>
    </row>
    <row r="867" spans="5:5" ht="15.75" thickBot="1" x14ac:dyDescent="0.3">
      <c r="E867" s="17"/>
    </row>
    <row r="868" spans="5:5" ht="15.75" thickBot="1" x14ac:dyDescent="0.3">
      <c r="E868" s="17"/>
    </row>
    <row r="869" spans="5:5" ht="15.75" thickBot="1" x14ac:dyDescent="0.3">
      <c r="E869" s="17"/>
    </row>
    <row r="870" spans="5:5" ht="15.75" thickBot="1" x14ac:dyDescent="0.3">
      <c r="E870" s="17"/>
    </row>
    <row r="871" spans="5:5" ht="15.75" thickBot="1" x14ac:dyDescent="0.3">
      <c r="E871" s="17"/>
    </row>
    <row r="872" spans="5:5" ht="15.75" thickBot="1" x14ac:dyDescent="0.3">
      <c r="E872" s="17"/>
    </row>
    <row r="873" spans="5:5" ht="15.75" thickBot="1" x14ac:dyDescent="0.3">
      <c r="E873" s="17"/>
    </row>
    <row r="874" spans="5:5" ht="15.75" thickBot="1" x14ac:dyDescent="0.3">
      <c r="E874" s="17"/>
    </row>
    <row r="875" spans="5:5" ht="15.75" thickBot="1" x14ac:dyDescent="0.3">
      <c r="E875" s="17"/>
    </row>
    <row r="876" spans="5:5" ht="15.75" thickBot="1" x14ac:dyDescent="0.3">
      <c r="E876" s="17"/>
    </row>
    <row r="877" spans="5:5" ht="15.75" thickBot="1" x14ac:dyDescent="0.3">
      <c r="E877" s="17"/>
    </row>
    <row r="878" spans="5:5" ht="15.75" thickBot="1" x14ac:dyDescent="0.3">
      <c r="E878" s="17"/>
    </row>
    <row r="879" spans="5:5" ht="15.75" thickBot="1" x14ac:dyDescent="0.3">
      <c r="E879" s="17"/>
    </row>
    <row r="880" spans="5:5" ht="15.75" thickBot="1" x14ac:dyDescent="0.3">
      <c r="E880" s="17"/>
    </row>
    <row r="881" spans="5:5" ht="15.75" thickBot="1" x14ac:dyDescent="0.3">
      <c r="E881" s="17"/>
    </row>
    <row r="882" spans="5:5" ht="15.75" thickBot="1" x14ac:dyDescent="0.3">
      <c r="E882" s="17"/>
    </row>
    <row r="883" spans="5:5" ht="15.75" thickBot="1" x14ac:dyDescent="0.3">
      <c r="E883" s="17"/>
    </row>
    <row r="884" spans="5:5" ht="15.75" thickBot="1" x14ac:dyDescent="0.3">
      <c r="E884" s="17"/>
    </row>
    <row r="885" spans="5:5" ht="15.75" thickBot="1" x14ac:dyDescent="0.3">
      <c r="E885" s="17"/>
    </row>
    <row r="886" spans="5:5" ht="15.75" thickBot="1" x14ac:dyDescent="0.3">
      <c r="E886" s="17"/>
    </row>
    <row r="887" spans="5:5" ht="15.75" thickBot="1" x14ac:dyDescent="0.3">
      <c r="E887" s="17"/>
    </row>
    <row r="888" spans="5:5" ht="15.75" thickBot="1" x14ac:dyDescent="0.3">
      <c r="E888" s="17"/>
    </row>
    <row r="889" spans="5:5" ht="15.75" thickBot="1" x14ac:dyDescent="0.3">
      <c r="E889" s="17"/>
    </row>
    <row r="890" spans="5:5" ht="15.75" thickBot="1" x14ac:dyDescent="0.3">
      <c r="E890" s="17"/>
    </row>
    <row r="891" spans="5:5" ht="15.75" thickBot="1" x14ac:dyDescent="0.3">
      <c r="E891" s="17"/>
    </row>
    <row r="892" spans="5:5" ht="15.75" thickBot="1" x14ac:dyDescent="0.3">
      <c r="E892" s="17"/>
    </row>
    <row r="893" spans="5:5" ht="15.75" thickBot="1" x14ac:dyDescent="0.3">
      <c r="E893" s="17"/>
    </row>
    <row r="894" spans="5:5" ht="15.75" thickBot="1" x14ac:dyDescent="0.3">
      <c r="E894" s="17"/>
    </row>
    <row r="895" spans="5:5" ht="15.75" thickBot="1" x14ac:dyDescent="0.3">
      <c r="E895" s="17"/>
    </row>
    <row r="896" spans="5:5" ht="15.75" thickBot="1" x14ac:dyDescent="0.3">
      <c r="E896" s="17"/>
    </row>
    <row r="897" spans="5:5" ht="15.75" thickBot="1" x14ac:dyDescent="0.3">
      <c r="E897" s="17"/>
    </row>
    <row r="898" spans="5:5" ht="15.75" thickBot="1" x14ac:dyDescent="0.3">
      <c r="E898" s="17"/>
    </row>
    <row r="899" spans="5:5" ht="15.75" thickBot="1" x14ac:dyDescent="0.3">
      <c r="E899" s="17"/>
    </row>
    <row r="900" spans="5:5" ht="15.75" thickBot="1" x14ac:dyDescent="0.3">
      <c r="E900" s="17"/>
    </row>
    <row r="901" spans="5:5" ht="15.75" thickBot="1" x14ac:dyDescent="0.3">
      <c r="E901" s="17"/>
    </row>
    <row r="902" spans="5:5" ht="15.75" thickBot="1" x14ac:dyDescent="0.3">
      <c r="E902" s="17"/>
    </row>
    <row r="903" spans="5:5" ht="15.75" thickBot="1" x14ac:dyDescent="0.3">
      <c r="E903" s="17"/>
    </row>
    <row r="904" spans="5:5" ht="15.75" thickBot="1" x14ac:dyDescent="0.3">
      <c r="E904" s="17"/>
    </row>
    <row r="905" spans="5:5" ht="15.75" thickBot="1" x14ac:dyDescent="0.3">
      <c r="E905" s="17"/>
    </row>
    <row r="906" spans="5:5" ht="15.75" thickBot="1" x14ac:dyDescent="0.3">
      <c r="E906" s="17"/>
    </row>
    <row r="907" spans="5:5" ht="15.75" thickBot="1" x14ac:dyDescent="0.3">
      <c r="E907" s="17"/>
    </row>
    <row r="908" spans="5:5" ht="15.75" thickBot="1" x14ac:dyDescent="0.3">
      <c r="E908" s="17"/>
    </row>
    <row r="909" spans="5:5" ht="15.75" thickBot="1" x14ac:dyDescent="0.3">
      <c r="E909" s="17"/>
    </row>
    <row r="910" spans="5:5" ht="15.75" thickBot="1" x14ac:dyDescent="0.3">
      <c r="E910" s="17"/>
    </row>
    <row r="911" spans="5:5" ht="15.75" thickBot="1" x14ac:dyDescent="0.3">
      <c r="E911" s="17"/>
    </row>
    <row r="912" spans="5:5" ht="15.75" thickBot="1" x14ac:dyDescent="0.3">
      <c r="E912" s="17"/>
    </row>
    <row r="913" spans="5:5" ht="15.75" thickBot="1" x14ac:dyDescent="0.3">
      <c r="E913" s="17"/>
    </row>
    <row r="914" spans="5:5" ht="15.75" thickBot="1" x14ac:dyDescent="0.3">
      <c r="E914" s="17"/>
    </row>
    <row r="915" spans="5:5" ht="15.75" thickBot="1" x14ac:dyDescent="0.3">
      <c r="E915" s="17"/>
    </row>
    <row r="916" spans="5:5" ht="15.75" thickBot="1" x14ac:dyDescent="0.3">
      <c r="E916" s="17"/>
    </row>
    <row r="917" spans="5:5" ht="15.75" thickBot="1" x14ac:dyDescent="0.3">
      <c r="E917" s="17"/>
    </row>
    <row r="918" spans="5:5" ht="15.75" thickBot="1" x14ac:dyDescent="0.3">
      <c r="E918" s="17"/>
    </row>
    <row r="919" spans="5:5" ht="15.75" thickBot="1" x14ac:dyDescent="0.3">
      <c r="E919" s="17"/>
    </row>
    <row r="920" spans="5:5" ht="15.75" thickBot="1" x14ac:dyDescent="0.3">
      <c r="E920" s="17"/>
    </row>
    <row r="921" spans="5:5" ht="15.75" thickBot="1" x14ac:dyDescent="0.3">
      <c r="E921" s="17"/>
    </row>
    <row r="922" spans="5:5" ht="15.75" thickBot="1" x14ac:dyDescent="0.3">
      <c r="E922" s="17"/>
    </row>
    <row r="923" spans="5:5" ht="15.75" thickBot="1" x14ac:dyDescent="0.3">
      <c r="E923" s="17"/>
    </row>
    <row r="924" spans="5:5" ht="15.75" thickBot="1" x14ac:dyDescent="0.3">
      <c r="E924" s="17"/>
    </row>
    <row r="925" spans="5:5" ht="15.75" thickBot="1" x14ac:dyDescent="0.3">
      <c r="E925" s="17"/>
    </row>
    <row r="926" spans="5:5" ht="15.75" thickBot="1" x14ac:dyDescent="0.3">
      <c r="E926" s="17"/>
    </row>
    <row r="927" spans="5:5" ht="15.75" thickBot="1" x14ac:dyDescent="0.3">
      <c r="E927" s="17"/>
    </row>
    <row r="928" spans="5:5" ht="15.75" thickBot="1" x14ac:dyDescent="0.3">
      <c r="E928" s="17"/>
    </row>
    <row r="929" spans="5:5" ht="15.75" thickBot="1" x14ac:dyDescent="0.3">
      <c r="E929" s="17"/>
    </row>
    <row r="930" spans="5:5" ht="15.75" thickBot="1" x14ac:dyDescent="0.3">
      <c r="E930" s="17"/>
    </row>
    <row r="931" spans="5:5" ht="15.75" thickBot="1" x14ac:dyDescent="0.3">
      <c r="E931" s="17"/>
    </row>
    <row r="932" spans="5:5" ht="15.75" thickBot="1" x14ac:dyDescent="0.3">
      <c r="E932" s="17"/>
    </row>
    <row r="933" spans="5:5" ht="15.75" thickBot="1" x14ac:dyDescent="0.3">
      <c r="E933" s="17"/>
    </row>
    <row r="934" spans="5:5" ht="15.75" thickBot="1" x14ac:dyDescent="0.3">
      <c r="E934" s="17"/>
    </row>
    <row r="935" spans="5:5" ht="15.75" thickBot="1" x14ac:dyDescent="0.3">
      <c r="E935" s="17"/>
    </row>
    <row r="936" spans="5:5" ht="15.75" thickBot="1" x14ac:dyDescent="0.3">
      <c r="E936" s="17"/>
    </row>
    <row r="937" spans="5:5" ht="15.75" thickBot="1" x14ac:dyDescent="0.3">
      <c r="E937" s="17"/>
    </row>
    <row r="938" spans="5:5" ht="15.75" thickBot="1" x14ac:dyDescent="0.3">
      <c r="E938" s="17"/>
    </row>
    <row r="939" spans="5:5" ht="15.75" thickBot="1" x14ac:dyDescent="0.3">
      <c r="E939" s="17"/>
    </row>
    <row r="940" spans="5:5" ht="15.75" thickBot="1" x14ac:dyDescent="0.3">
      <c r="E940" s="17"/>
    </row>
    <row r="941" spans="5:5" ht="15.75" thickBot="1" x14ac:dyDescent="0.3">
      <c r="E941" s="17"/>
    </row>
    <row r="942" spans="5:5" ht="15.75" thickBot="1" x14ac:dyDescent="0.3">
      <c r="E942" s="17"/>
    </row>
    <row r="943" spans="5:5" ht="15.75" thickBot="1" x14ac:dyDescent="0.3">
      <c r="E943" s="17"/>
    </row>
    <row r="944" spans="5:5" ht="15.75" thickBot="1" x14ac:dyDescent="0.3">
      <c r="E944" s="17"/>
    </row>
    <row r="945" spans="5:5" ht="15.75" thickBot="1" x14ac:dyDescent="0.3">
      <c r="E945" s="17"/>
    </row>
    <row r="946" spans="5:5" ht="15.75" thickBot="1" x14ac:dyDescent="0.3">
      <c r="E946" s="17"/>
    </row>
    <row r="947" spans="5:5" ht="15.75" thickBot="1" x14ac:dyDescent="0.3">
      <c r="E947" s="17"/>
    </row>
    <row r="948" spans="5:5" ht="15.75" thickBot="1" x14ac:dyDescent="0.3">
      <c r="E948" s="17"/>
    </row>
    <row r="949" spans="5:5" ht="15.75" thickBot="1" x14ac:dyDescent="0.3">
      <c r="E949" s="17"/>
    </row>
    <row r="950" spans="5:5" ht="15.75" thickBot="1" x14ac:dyDescent="0.3">
      <c r="E950" s="17"/>
    </row>
    <row r="951" spans="5:5" ht="15.75" thickBot="1" x14ac:dyDescent="0.3">
      <c r="E951" s="17"/>
    </row>
    <row r="952" spans="5:5" ht="15.75" thickBot="1" x14ac:dyDescent="0.3">
      <c r="E952" s="17"/>
    </row>
    <row r="953" spans="5:5" ht="15.75" thickBot="1" x14ac:dyDescent="0.3">
      <c r="E953" s="17"/>
    </row>
    <row r="954" spans="5:5" ht="15.75" thickBot="1" x14ac:dyDescent="0.3">
      <c r="E954" s="17"/>
    </row>
    <row r="955" spans="5:5" ht="15.75" thickBot="1" x14ac:dyDescent="0.3">
      <c r="E955" s="17"/>
    </row>
    <row r="956" spans="5:5" ht="15.75" thickBot="1" x14ac:dyDescent="0.3">
      <c r="E956" s="17"/>
    </row>
    <row r="957" spans="5:5" ht="15.75" thickBot="1" x14ac:dyDescent="0.3">
      <c r="E957" s="17"/>
    </row>
    <row r="958" spans="5:5" ht="15.75" thickBot="1" x14ac:dyDescent="0.3">
      <c r="E958" s="17"/>
    </row>
    <row r="959" spans="5:5" ht="15.75" thickBot="1" x14ac:dyDescent="0.3">
      <c r="E959" s="17"/>
    </row>
    <row r="960" spans="5:5" ht="15.75" thickBot="1" x14ac:dyDescent="0.3">
      <c r="E960" s="17"/>
    </row>
    <row r="961" spans="5:5" ht="15.75" thickBot="1" x14ac:dyDescent="0.3">
      <c r="E961" s="17"/>
    </row>
    <row r="962" spans="5:5" ht="15.75" thickBot="1" x14ac:dyDescent="0.3">
      <c r="E962" s="17"/>
    </row>
    <row r="963" spans="5:5" ht="15.75" thickBot="1" x14ac:dyDescent="0.3">
      <c r="E963" s="17"/>
    </row>
    <row r="964" spans="5:5" ht="15.75" thickBot="1" x14ac:dyDescent="0.3">
      <c r="E964" s="17"/>
    </row>
    <row r="965" spans="5:5" ht="15.75" thickBot="1" x14ac:dyDescent="0.3">
      <c r="E965" s="17"/>
    </row>
    <row r="966" spans="5:5" ht="15.75" thickBot="1" x14ac:dyDescent="0.3">
      <c r="E966" s="17"/>
    </row>
    <row r="967" spans="5:5" ht="15.75" thickBot="1" x14ac:dyDescent="0.3">
      <c r="E967" s="17"/>
    </row>
    <row r="968" spans="5:5" ht="15.75" thickBot="1" x14ac:dyDescent="0.3">
      <c r="E968" s="17"/>
    </row>
    <row r="969" spans="5:5" ht="15.75" thickBot="1" x14ac:dyDescent="0.3">
      <c r="E969" s="17"/>
    </row>
    <row r="970" spans="5:5" ht="15.75" thickBot="1" x14ac:dyDescent="0.3">
      <c r="E970" s="17"/>
    </row>
    <row r="971" spans="5:5" ht="15.75" thickBot="1" x14ac:dyDescent="0.3">
      <c r="E971" s="17"/>
    </row>
    <row r="972" spans="5:5" ht="15.75" thickBot="1" x14ac:dyDescent="0.3">
      <c r="E972" s="17"/>
    </row>
    <row r="973" spans="5:5" ht="15.75" thickBot="1" x14ac:dyDescent="0.3">
      <c r="E973" s="17"/>
    </row>
    <row r="974" spans="5:5" ht="15.75" thickBot="1" x14ac:dyDescent="0.3">
      <c r="E974" s="17"/>
    </row>
    <row r="975" spans="5:5" ht="15.75" thickBot="1" x14ac:dyDescent="0.3">
      <c r="E975" s="17"/>
    </row>
    <row r="976" spans="5:5" ht="15.75" thickBot="1" x14ac:dyDescent="0.3">
      <c r="E976" s="17"/>
    </row>
    <row r="977" spans="5:5" ht="15.75" thickBot="1" x14ac:dyDescent="0.3">
      <c r="E977" s="17"/>
    </row>
    <row r="978" spans="5:5" ht="15.75" thickBot="1" x14ac:dyDescent="0.3">
      <c r="E978" s="17"/>
    </row>
    <row r="979" spans="5:5" ht="15.75" thickBot="1" x14ac:dyDescent="0.3">
      <c r="E979" s="17"/>
    </row>
    <row r="980" spans="5:5" ht="15.75" thickBot="1" x14ac:dyDescent="0.3">
      <c r="E980" s="17"/>
    </row>
    <row r="981" spans="5:5" ht="15.75" thickBot="1" x14ac:dyDescent="0.3">
      <c r="E981" s="17"/>
    </row>
    <row r="982" spans="5:5" ht="15.75" thickBot="1" x14ac:dyDescent="0.3">
      <c r="E982" s="17"/>
    </row>
    <row r="983" spans="5:5" ht="15.75" thickBot="1" x14ac:dyDescent="0.3">
      <c r="E983" s="17"/>
    </row>
    <row r="984" spans="5:5" ht="15.75" thickBot="1" x14ac:dyDescent="0.3">
      <c r="E984" s="17"/>
    </row>
    <row r="985" spans="5:5" ht="15.75" thickBot="1" x14ac:dyDescent="0.3">
      <c r="E985" s="17"/>
    </row>
    <row r="986" spans="5:5" ht="15.75" thickBot="1" x14ac:dyDescent="0.3">
      <c r="E986" s="17"/>
    </row>
    <row r="987" spans="5:5" ht="15.75" thickBot="1" x14ac:dyDescent="0.3">
      <c r="E987" s="17"/>
    </row>
    <row r="988" spans="5:5" ht="15.75" thickBot="1" x14ac:dyDescent="0.3">
      <c r="E988" s="17"/>
    </row>
    <row r="989" spans="5:5" ht="15.75" thickBot="1" x14ac:dyDescent="0.3">
      <c r="E989" s="17"/>
    </row>
    <row r="990" spans="5:5" ht="15.75" thickBot="1" x14ac:dyDescent="0.3">
      <c r="E990" s="17"/>
    </row>
    <row r="991" spans="5:5" ht="15.75" thickBot="1" x14ac:dyDescent="0.3">
      <c r="E991" s="17"/>
    </row>
    <row r="992" spans="5:5" ht="15.75" thickBot="1" x14ac:dyDescent="0.3">
      <c r="E992" s="17"/>
    </row>
    <row r="993" spans="5:5" ht="15.75" thickBot="1" x14ac:dyDescent="0.3">
      <c r="E993" s="17"/>
    </row>
    <row r="994" spans="5:5" ht="15.75" thickBot="1" x14ac:dyDescent="0.3">
      <c r="E994" s="17"/>
    </row>
    <row r="995" spans="5:5" ht="15.75" thickBot="1" x14ac:dyDescent="0.3">
      <c r="E995" s="17"/>
    </row>
    <row r="996" spans="5:5" ht="15.75" thickBot="1" x14ac:dyDescent="0.3">
      <c r="E996" s="17"/>
    </row>
    <row r="997" spans="5:5" ht="15.75" thickBot="1" x14ac:dyDescent="0.3">
      <c r="E997" s="17"/>
    </row>
    <row r="998" spans="5:5" ht="15.75" thickBot="1" x14ac:dyDescent="0.3">
      <c r="E998" s="17"/>
    </row>
    <row r="999" spans="5:5" ht="15.75" thickBot="1" x14ac:dyDescent="0.3">
      <c r="E999" s="17"/>
    </row>
    <row r="1000" spans="5:5" ht="15.75" thickBot="1" x14ac:dyDescent="0.3">
      <c r="E1000" s="17"/>
    </row>
  </sheetData>
  <sortState xmlns:xlrd2="http://schemas.microsoft.com/office/spreadsheetml/2017/richdata2" ref="A2:E1000">
    <sortCondition ref="A2:A100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AA9C7-D5ED-489F-8213-6964FEA1C34C}">
  <dimension ref="A1:F1000"/>
  <sheetViews>
    <sheetView zoomScale="94" workbookViewId="0">
      <selection activeCell="F51" sqref="F51"/>
    </sheetView>
  </sheetViews>
  <sheetFormatPr baseColWidth="10" defaultRowHeight="15" x14ac:dyDescent="0.25"/>
  <cols>
    <col min="1" max="1" width="11.42578125" style="4"/>
    <col min="2" max="2" width="19.7109375" customWidth="1"/>
    <col min="3" max="3" width="18.85546875" customWidth="1"/>
    <col min="4" max="4" width="15.28515625" customWidth="1"/>
  </cols>
  <sheetData>
    <row r="1" spans="1:5" ht="15.75" thickBot="1" x14ac:dyDescent="0.3">
      <c r="A1" s="7" t="s">
        <v>1067</v>
      </c>
      <c r="B1" s="5" t="s">
        <v>0</v>
      </c>
      <c r="C1" s="5" t="s">
        <v>51</v>
      </c>
      <c r="D1" s="5" t="s">
        <v>52</v>
      </c>
      <c r="E1" s="16" t="s">
        <v>1016</v>
      </c>
    </row>
    <row r="2" spans="1:5" ht="90.75" thickBot="1" x14ac:dyDescent="0.3">
      <c r="A2" s="4">
        <f>_xlfn.XLOOKUP(E2,Orden_preguntas!$B:$B,Orden_preguntas!$A:$A)</f>
        <v>1</v>
      </c>
      <c r="B2" s="6" t="s">
        <v>118</v>
      </c>
      <c r="C2" s="6">
        <v>1</v>
      </c>
      <c r="D2" s="6" t="s">
        <v>168</v>
      </c>
      <c r="E2" s="17" t="s">
        <v>1027</v>
      </c>
    </row>
    <row r="3" spans="1:5" ht="90.75" thickBot="1" x14ac:dyDescent="0.3">
      <c r="A3" s="4">
        <f>_xlfn.XLOOKUP(E3,Orden_preguntas!$B:$B,Orden_preguntas!$A:$A)</f>
        <v>2</v>
      </c>
      <c r="B3" s="6" t="s">
        <v>115</v>
      </c>
      <c r="C3" s="6">
        <v>0.9</v>
      </c>
      <c r="D3" s="6" t="s">
        <v>165</v>
      </c>
      <c r="E3" s="17" t="s">
        <v>1032</v>
      </c>
    </row>
    <row r="4" spans="1:5" ht="105.75" thickBot="1" x14ac:dyDescent="0.3">
      <c r="A4" s="4">
        <f>_xlfn.XLOOKUP(E4,Orden_preguntas!$B:$B,Orden_preguntas!$A:$A)</f>
        <v>3</v>
      </c>
      <c r="B4" s="6" t="s">
        <v>105</v>
      </c>
      <c r="C4" s="6">
        <v>1</v>
      </c>
      <c r="D4" s="6" t="s">
        <v>155</v>
      </c>
      <c r="E4" s="17" t="s">
        <v>1022</v>
      </c>
    </row>
    <row r="5" spans="1:5" ht="105.75" thickBot="1" x14ac:dyDescent="0.3">
      <c r="A5" s="4">
        <f>_xlfn.XLOOKUP(E5,Orden_preguntas!$B:$B,Orden_preguntas!$A:$A)</f>
        <v>4</v>
      </c>
      <c r="B5" s="6" t="s">
        <v>108</v>
      </c>
      <c r="C5" s="6">
        <v>1</v>
      </c>
      <c r="D5" s="6" t="s">
        <v>158</v>
      </c>
      <c r="E5" s="17" t="s">
        <v>1036</v>
      </c>
    </row>
    <row r="6" spans="1:5" ht="105.75" thickBot="1" x14ac:dyDescent="0.3">
      <c r="A6" s="4">
        <f>_xlfn.XLOOKUP(E6,Orden_preguntas!$B:$B,Orden_preguntas!$A:$A)</f>
        <v>5</v>
      </c>
      <c r="B6" s="6" t="s">
        <v>106</v>
      </c>
      <c r="C6" s="6">
        <v>0.9</v>
      </c>
      <c r="D6" s="6" t="s">
        <v>156</v>
      </c>
      <c r="E6" s="17" t="s">
        <v>1028</v>
      </c>
    </row>
    <row r="7" spans="1:5" ht="90.75" thickBot="1" x14ac:dyDescent="0.3">
      <c r="A7" s="4">
        <f>_xlfn.XLOOKUP(E7,Orden_preguntas!$B:$B,Orden_preguntas!$A:$A)</f>
        <v>6</v>
      </c>
      <c r="B7" s="6" t="s">
        <v>110</v>
      </c>
      <c r="C7" s="6">
        <v>0.3</v>
      </c>
      <c r="D7" s="6" t="s">
        <v>160</v>
      </c>
      <c r="E7" s="17" t="s">
        <v>1024</v>
      </c>
    </row>
    <row r="8" spans="1:5" ht="120.75" thickBot="1" x14ac:dyDescent="0.3">
      <c r="A8" s="4">
        <f>_xlfn.XLOOKUP(E8,Orden_preguntas!$B:$B,Orden_preguntas!$A:$A)</f>
        <v>7</v>
      </c>
      <c r="B8" s="6" t="s">
        <v>113</v>
      </c>
      <c r="C8" s="6">
        <v>0.3</v>
      </c>
      <c r="D8" s="6" t="s">
        <v>163</v>
      </c>
      <c r="E8" s="17" t="s">
        <v>1030</v>
      </c>
    </row>
    <row r="9" spans="1:5" ht="105.75" thickBot="1" x14ac:dyDescent="0.3">
      <c r="A9" s="4">
        <f>_xlfn.XLOOKUP(E9,Orden_preguntas!$B:$B,Orden_preguntas!$A:$A)</f>
        <v>8</v>
      </c>
      <c r="B9" s="6" t="s">
        <v>120</v>
      </c>
      <c r="C9" s="6">
        <v>0.3</v>
      </c>
      <c r="D9" s="6" t="s">
        <v>170</v>
      </c>
      <c r="E9" s="17" t="s">
        <v>1020</v>
      </c>
    </row>
    <row r="10" spans="1:5" ht="90.75" thickBot="1" x14ac:dyDescent="0.3">
      <c r="A10" s="4">
        <f>_xlfn.XLOOKUP(E10,Orden_preguntas!$B:$B,Orden_preguntas!$A:$A)</f>
        <v>9</v>
      </c>
      <c r="B10" s="6" t="s">
        <v>111</v>
      </c>
      <c r="C10" s="6">
        <v>1</v>
      </c>
      <c r="D10" s="6" t="s">
        <v>161</v>
      </c>
      <c r="E10" s="17" t="s">
        <v>1034</v>
      </c>
    </row>
    <row r="11" spans="1:5" ht="90.75" thickBot="1" x14ac:dyDescent="0.3">
      <c r="A11" s="4">
        <f>_xlfn.XLOOKUP(E11,Orden_preguntas!$B:$B,Orden_preguntas!$A:$A)</f>
        <v>10</v>
      </c>
      <c r="B11" s="6" t="s">
        <v>104</v>
      </c>
      <c r="C11" s="6">
        <v>1</v>
      </c>
      <c r="D11" s="6" t="s">
        <v>154</v>
      </c>
      <c r="E11" s="17" t="s">
        <v>1035</v>
      </c>
    </row>
    <row r="12" spans="1:5" ht="135.75" thickBot="1" x14ac:dyDescent="0.3">
      <c r="A12" s="4">
        <f>_xlfn.XLOOKUP(E12,Orden_preguntas!$B:$B,Orden_preguntas!$A:$A)</f>
        <v>11</v>
      </c>
      <c r="B12" s="6" t="s">
        <v>109</v>
      </c>
      <c r="C12" s="6">
        <v>1</v>
      </c>
      <c r="D12" s="6" t="s">
        <v>159</v>
      </c>
      <c r="E12" s="17" t="s">
        <v>1017</v>
      </c>
    </row>
    <row r="13" spans="1:5" ht="120.75" thickBot="1" x14ac:dyDescent="0.3">
      <c r="A13" s="4">
        <f>_xlfn.XLOOKUP(E13,Orden_preguntas!$B:$B,Orden_preguntas!$A:$A)</f>
        <v>12</v>
      </c>
      <c r="B13" s="6" t="s">
        <v>116</v>
      </c>
      <c r="C13" s="6">
        <v>1</v>
      </c>
      <c r="D13" s="6" t="s">
        <v>166</v>
      </c>
      <c r="E13" s="17" t="s">
        <v>1023</v>
      </c>
    </row>
    <row r="14" spans="1:5" ht="135.75" thickBot="1" x14ac:dyDescent="0.3">
      <c r="A14" s="4">
        <f>_xlfn.XLOOKUP(E14,Orden_preguntas!$B:$B,Orden_preguntas!$A:$A)</f>
        <v>13</v>
      </c>
      <c r="B14" s="6" t="s">
        <v>103</v>
      </c>
      <c r="C14" s="6">
        <v>1</v>
      </c>
      <c r="D14" s="6" t="s">
        <v>153</v>
      </c>
      <c r="E14" s="17" t="s">
        <v>1033</v>
      </c>
    </row>
    <row r="15" spans="1:5" ht="105.75" thickBot="1" x14ac:dyDescent="0.3">
      <c r="A15" s="4">
        <f>_xlfn.XLOOKUP(E15,Orden_preguntas!$B:$B,Orden_preguntas!$A:$A)</f>
        <v>14</v>
      </c>
      <c r="B15" s="6" t="s">
        <v>117</v>
      </c>
      <c r="C15" s="6">
        <v>0.9</v>
      </c>
      <c r="D15" s="6" t="s">
        <v>167</v>
      </c>
      <c r="E15" s="17" t="s">
        <v>1018</v>
      </c>
    </row>
    <row r="16" spans="1:5" ht="150.75" thickBot="1" x14ac:dyDescent="0.3">
      <c r="A16" s="4">
        <f>_xlfn.XLOOKUP(E16,Orden_preguntas!$B:$B,Orden_preguntas!$A:$A)</f>
        <v>15</v>
      </c>
      <c r="B16" s="6" t="s">
        <v>114</v>
      </c>
      <c r="C16" s="6">
        <v>1</v>
      </c>
      <c r="D16" s="6" t="s">
        <v>164</v>
      </c>
      <c r="E16" s="17" t="s">
        <v>1025</v>
      </c>
    </row>
    <row r="17" spans="1:6" s="14" customFormat="1" ht="105.75" thickBot="1" x14ac:dyDescent="0.3">
      <c r="A17" s="11">
        <f>_xlfn.XLOOKUP(E17,Orden_preguntas!$B:$B,Orden_preguntas!$A:$A)</f>
        <v>16</v>
      </c>
      <c r="B17" s="12" t="s">
        <v>121</v>
      </c>
      <c r="C17" s="12">
        <v>0.8</v>
      </c>
      <c r="D17" s="12" t="s">
        <v>171</v>
      </c>
      <c r="E17" s="18" t="s">
        <v>1019</v>
      </c>
      <c r="F17" s="14" t="s">
        <v>1072</v>
      </c>
    </row>
    <row r="18" spans="1:6" s="14" customFormat="1" ht="75.75" thickBot="1" x14ac:dyDescent="0.3">
      <c r="A18" s="11">
        <f>_xlfn.XLOOKUP(E18,Orden_preguntas!$B:$B,Orden_preguntas!$A:$A)</f>
        <v>17</v>
      </c>
      <c r="B18" s="12" t="s">
        <v>122</v>
      </c>
      <c r="C18" s="12">
        <v>0.9</v>
      </c>
      <c r="D18" s="12" t="s">
        <v>172</v>
      </c>
      <c r="E18" s="18" t="s">
        <v>1026</v>
      </c>
      <c r="F18" s="14" t="s">
        <v>1073</v>
      </c>
    </row>
    <row r="19" spans="1:6" ht="75.75" thickBot="1" x14ac:dyDescent="0.3">
      <c r="A19" s="4">
        <f>_xlfn.XLOOKUP(E19,Orden_preguntas!$B:$B,Orden_preguntas!$A:$A)</f>
        <v>18</v>
      </c>
      <c r="B19" s="6" t="s">
        <v>119</v>
      </c>
      <c r="C19" s="6">
        <v>0.3</v>
      </c>
      <c r="D19" s="6" t="s">
        <v>169</v>
      </c>
      <c r="E19" s="17" t="s">
        <v>1031</v>
      </c>
    </row>
    <row r="20" spans="1:6" s="23" customFormat="1" ht="135.75" thickBot="1" x14ac:dyDescent="0.3">
      <c r="A20" s="19">
        <f>_xlfn.XLOOKUP(E20,Orden_preguntas!$B:$B,Orden_preguntas!$A:$A)</f>
        <v>19</v>
      </c>
      <c r="B20" s="20" t="s">
        <v>112</v>
      </c>
      <c r="C20" s="20">
        <v>1</v>
      </c>
      <c r="D20" s="20" t="s">
        <v>162</v>
      </c>
      <c r="E20" s="22" t="s">
        <v>1029</v>
      </c>
    </row>
    <row r="21" spans="1:6" s="23" customFormat="1" ht="135.75" thickBot="1" x14ac:dyDescent="0.3">
      <c r="A21" s="19">
        <f>_xlfn.XLOOKUP(E21,Orden_preguntas!$B:$B,Orden_preguntas!$A:$A)</f>
        <v>20</v>
      </c>
      <c r="B21" s="20" t="s">
        <v>107</v>
      </c>
      <c r="C21" s="20">
        <v>1</v>
      </c>
      <c r="D21" s="20" t="s">
        <v>157</v>
      </c>
      <c r="E21" s="22" t="s">
        <v>1021</v>
      </c>
    </row>
    <row r="22" spans="1:6" ht="120.75" thickBot="1" x14ac:dyDescent="0.3">
      <c r="A22" s="4">
        <f>_xlfn.XLOOKUP(E22,Orden_preguntas!$B:$B,Orden_preguntas!$A:$A)</f>
        <v>21</v>
      </c>
      <c r="B22" s="6" t="s">
        <v>141</v>
      </c>
      <c r="C22" s="6">
        <v>0.9</v>
      </c>
      <c r="D22" s="6" t="s">
        <v>191</v>
      </c>
      <c r="E22" s="17" t="s">
        <v>1038</v>
      </c>
    </row>
    <row r="23" spans="1:6" s="14" customFormat="1" ht="150.75" thickBot="1" x14ac:dyDescent="0.3">
      <c r="A23" s="11">
        <f>_xlfn.XLOOKUP(E23,Orden_preguntas!$B:$B,Orden_preguntas!$A:$A)</f>
        <v>22</v>
      </c>
      <c r="B23" s="12" t="s">
        <v>147</v>
      </c>
      <c r="C23" s="12">
        <v>0.9</v>
      </c>
      <c r="D23" s="12" t="s">
        <v>197</v>
      </c>
      <c r="E23" s="18" t="s">
        <v>1048</v>
      </c>
      <c r="F23" s="14" t="s">
        <v>1074</v>
      </c>
    </row>
    <row r="24" spans="1:6" ht="120.75" thickBot="1" x14ac:dyDescent="0.3">
      <c r="A24" s="4">
        <f>_xlfn.XLOOKUP(E24,Orden_preguntas!$B:$B,Orden_preguntas!$A:$A)</f>
        <v>23</v>
      </c>
      <c r="B24" s="6" t="s">
        <v>126</v>
      </c>
      <c r="C24" s="6">
        <v>1</v>
      </c>
      <c r="D24" s="6" t="s">
        <v>176</v>
      </c>
      <c r="E24" s="17" t="s">
        <v>1056</v>
      </c>
    </row>
    <row r="25" spans="1:6" ht="135.75" thickBot="1" x14ac:dyDescent="0.3">
      <c r="A25" s="4">
        <f>_xlfn.XLOOKUP(E25,Orden_preguntas!$B:$B,Orden_preguntas!$A:$A)</f>
        <v>24</v>
      </c>
      <c r="B25" s="6" t="s">
        <v>123</v>
      </c>
      <c r="C25" s="6">
        <v>1</v>
      </c>
      <c r="D25" s="6" t="s">
        <v>173</v>
      </c>
      <c r="E25" s="17" t="s">
        <v>1037</v>
      </c>
    </row>
    <row r="26" spans="1:6" ht="120.75" thickBot="1" x14ac:dyDescent="0.3">
      <c r="A26" s="4">
        <f>_xlfn.XLOOKUP(E26,Orden_preguntas!$B:$B,Orden_preguntas!$A:$A)</f>
        <v>25</v>
      </c>
      <c r="B26" s="6" t="s">
        <v>131</v>
      </c>
      <c r="C26" s="6">
        <v>1</v>
      </c>
      <c r="D26" s="6" t="s">
        <v>181</v>
      </c>
      <c r="E26" s="17" t="s">
        <v>1039</v>
      </c>
    </row>
    <row r="27" spans="1:6" ht="135.75" thickBot="1" x14ac:dyDescent="0.3">
      <c r="A27" s="4">
        <f>_xlfn.XLOOKUP(E27,Orden_preguntas!$B:$B,Orden_preguntas!$A:$A)</f>
        <v>26</v>
      </c>
      <c r="B27" s="6" t="s">
        <v>130</v>
      </c>
      <c r="C27" s="6">
        <v>1</v>
      </c>
      <c r="D27" s="6" t="s">
        <v>180</v>
      </c>
      <c r="E27" s="17" t="s">
        <v>1041</v>
      </c>
    </row>
    <row r="28" spans="1:6" ht="105.75" thickBot="1" x14ac:dyDescent="0.3">
      <c r="A28" s="4">
        <f>_xlfn.XLOOKUP(E28,Orden_preguntas!$B:$B,Orden_preguntas!$A:$A)</f>
        <v>27</v>
      </c>
      <c r="B28" s="6" t="s">
        <v>133</v>
      </c>
      <c r="C28" s="6">
        <v>1</v>
      </c>
      <c r="D28" s="6" t="s">
        <v>183</v>
      </c>
      <c r="E28" s="17" t="s">
        <v>1040</v>
      </c>
    </row>
    <row r="29" spans="1:6" ht="105.75" thickBot="1" x14ac:dyDescent="0.3">
      <c r="A29" s="4">
        <f>_xlfn.XLOOKUP(E29,Orden_preguntas!$B:$B,Orden_preguntas!$A:$A)</f>
        <v>28</v>
      </c>
      <c r="B29" s="6" t="s">
        <v>125</v>
      </c>
      <c r="C29" s="6">
        <v>1</v>
      </c>
      <c r="D29" s="6" t="s">
        <v>175</v>
      </c>
      <c r="E29" s="17" t="s">
        <v>1042</v>
      </c>
    </row>
    <row r="30" spans="1:6" ht="135.75" thickBot="1" x14ac:dyDescent="0.3">
      <c r="A30" s="4">
        <f>_xlfn.XLOOKUP(E30,Orden_preguntas!$B:$B,Orden_preguntas!$A:$A)</f>
        <v>29</v>
      </c>
      <c r="B30" s="6" t="s">
        <v>127</v>
      </c>
      <c r="C30" s="6">
        <v>1</v>
      </c>
      <c r="D30" s="6" t="s">
        <v>177</v>
      </c>
      <c r="E30" s="17" t="s">
        <v>1043</v>
      </c>
    </row>
    <row r="31" spans="1:6" ht="150.75" thickBot="1" x14ac:dyDescent="0.3">
      <c r="A31" s="4">
        <f>_xlfn.XLOOKUP(E31,Orden_preguntas!$B:$B,Orden_preguntas!$A:$A)</f>
        <v>30</v>
      </c>
      <c r="B31" s="6" t="s">
        <v>124</v>
      </c>
      <c r="C31" s="6">
        <v>1</v>
      </c>
      <c r="D31" s="6" t="s">
        <v>174</v>
      </c>
      <c r="E31" s="17" t="s">
        <v>1045</v>
      </c>
    </row>
    <row r="32" spans="1:6" ht="150.75" thickBot="1" x14ac:dyDescent="0.3">
      <c r="A32" s="4">
        <f>_xlfn.XLOOKUP(E32,Orden_preguntas!$B:$B,Orden_preguntas!$A:$A)</f>
        <v>31</v>
      </c>
      <c r="B32" s="6" t="s">
        <v>134</v>
      </c>
      <c r="C32" s="6">
        <v>1</v>
      </c>
      <c r="D32" s="6" t="s">
        <v>184</v>
      </c>
      <c r="E32" s="17" t="s">
        <v>1051</v>
      </c>
    </row>
    <row r="33" spans="1:6" ht="180.75" thickBot="1" x14ac:dyDescent="0.3">
      <c r="A33" s="4">
        <f>_xlfn.XLOOKUP(E33,Orden_preguntas!$B:$B,Orden_preguntas!$A:$A)</f>
        <v>32</v>
      </c>
      <c r="B33" s="6" t="s">
        <v>129</v>
      </c>
      <c r="C33" s="6">
        <v>0.3</v>
      </c>
      <c r="D33" s="6" t="s">
        <v>179</v>
      </c>
      <c r="E33" s="17" t="s">
        <v>1047</v>
      </c>
    </row>
    <row r="34" spans="1:6" ht="165.75" thickBot="1" x14ac:dyDescent="0.3">
      <c r="A34" s="4">
        <f>_xlfn.XLOOKUP(E34,Orden_preguntas!$B:$B,Orden_preguntas!$A:$A)</f>
        <v>33</v>
      </c>
      <c r="B34" s="6" t="s">
        <v>128</v>
      </c>
      <c r="C34" s="6">
        <v>1</v>
      </c>
      <c r="D34" s="6" t="s">
        <v>178</v>
      </c>
      <c r="E34" s="17" t="s">
        <v>1053</v>
      </c>
    </row>
    <row r="35" spans="1:6" ht="120.75" thickBot="1" x14ac:dyDescent="0.3">
      <c r="A35" s="4">
        <f>_xlfn.XLOOKUP(E35,Orden_preguntas!$B:$B,Orden_preguntas!$A:$A)</f>
        <v>34</v>
      </c>
      <c r="B35" s="6" t="s">
        <v>138</v>
      </c>
      <c r="C35" s="6">
        <v>1</v>
      </c>
      <c r="D35" s="6" t="s">
        <v>188</v>
      </c>
      <c r="E35" s="17" t="s">
        <v>1057</v>
      </c>
    </row>
    <row r="36" spans="1:6" ht="165.75" thickBot="1" x14ac:dyDescent="0.3">
      <c r="A36" s="4">
        <f>_xlfn.XLOOKUP(E36,Orden_preguntas!$B:$B,Orden_preguntas!$A:$A)</f>
        <v>35</v>
      </c>
      <c r="B36" s="6" t="s">
        <v>136</v>
      </c>
      <c r="C36" s="6">
        <v>1</v>
      </c>
      <c r="D36" s="6" t="s">
        <v>186</v>
      </c>
      <c r="E36" s="17" t="s">
        <v>1046</v>
      </c>
    </row>
    <row r="37" spans="1:6" ht="135.75" thickBot="1" x14ac:dyDescent="0.3">
      <c r="A37" s="4">
        <f>_xlfn.XLOOKUP(E37,Orden_preguntas!$B:$B,Orden_preguntas!$A:$A)</f>
        <v>36</v>
      </c>
      <c r="B37" s="6" t="s">
        <v>137</v>
      </c>
      <c r="C37" s="6">
        <v>0.9</v>
      </c>
      <c r="D37" s="6" t="s">
        <v>187</v>
      </c>
      <c r="E37" s="17" t="s">
        <v>1049</v>
      </c>
    </row>
    <row r="38" spans="1:6" ht="135.75" thickBot="1" x14ac:dyDescent="0.3">
      <c r="A38" s="4">
        <f>_xlfn.XLOOKUP(E38,Orden_preguntas!$B:$B,Orden_preguntas!$A:$A)</f>
        <v>37</v>
      </c>
      <c r="B38" s="6" t="s">
        <v>139</v>
      </c>
      <c r="C38" s="6">
        <v>0.3</v>
      </c>
      <c r="D38" s="6" t="s">
        <v>189</v>
      </c>
      <c r="E38" s="17" t="s">
        <v>1052</v>
      </c>
    </row>
    <row r="39" spans="1:6" ht="105.75" thickBot="1" x14ac:dyDescent="0.3">
      <c r="A39" s="4">
        <f>_xlfn.XLOOKUP(E39,Orden_preguntas!$B:$B,Orden_preguntas!$A:$A)</f>
        <v>38</v>
      </c>
      <c r="B39" s="6" t="s">
        <v>132</v>
      </c>
      <c r="C39" s="6">
        <v>1</v>
      </c>
      <c r="D39" s="6" t="s">
        <v>182</v>
      </c>
      <c r="E39" s="17" t="s">
        <v>1044</v>
      </c>
    </row>
    <row r="40" spans="1:6" ht="165.75" thickBot="1" x14ac:dyDescent="0.3">
      <c r="A40" s="4">
        <f>_xlfn.XLOOKUP(E40,Orden_preguntas!$B:$B,Orden_preguntas!$A:$A)</f>
        <v>39</v>
      </c>
      <c r="B40" s="6" t="s">
        <v>135</v>
      </c>
      <c r="C40" s="6">
        <v>1</v>
      </c>
      <c r="D40" s="6" t="s">
        <v>185</v>
      </c>
      <c r="E40" s="17" t="s">
        <v>1055</v>
      </c>
    </row>
    <row r="41" spans="1:6" ht="165.75" thickBot="1" x14ac:dyDescent="0.3">
      <c r="A41" s="4">
        <f>_xlfn.XLOOKUP(E41,Orden_preguntas!$B:$B,Orden_preguntas!$A:$A)</f>
        <v>40</v>
      </c>
      <c r="B41" s="6" t="s">
        <v>142</v>
      </c>
      <c r="C41" s="6">
        <v>0.9</v>
      </c>
      <c r="D41" s="6" t="s">
        <v>192</v>
      </c>
      <c r="E41" s="17" t="s">
        <v>1050</v>
      </c>
    </row>
    <row r="42" spans="1:6" ht="225.75" thickBot="1" x14ac:dyDescent="0.3">
      <c r="A42" s="4">
        <f>_xlfn.XLOOKUP(E42,Orden_preguntas!$B:$B,Orden_preguntas!$A:$A)</f>
        <v>41</v>
      </c>
      <c r="B42" s="6" t="s">
        <v>140</v>
      </c>
      <c r="C42" s="6">
        <v>1</v>
      </c>
      <c r="D42" s="6" t="s">
        <v>190</v>
      </c>
      <c r="E42" s="17" t="s">
        <v>1054</v>
      </c>
    </row>
    <row r="43" spans="1:6" ht="165.75" thickBot="1" x14ac:dyDescent="0.3">
      <c r="A43" s="4">
        <f>_xlfn.XLOOKUP(E43,Orden_preguntas!$B:$B,Orden_preguntas!$A:$A)</f>
        <v>42</v>
      </c>
      <c r="B43" s="6" t="s">
        <v>144</v>
      </c>
      <c r="C43" s="6">
        <v>1</v>
      </c>
      <c r="D43" s="6" t="s">
        <v>194</v>
      </c>
      <c r="E43" s="17" t="s">
        <v>1065</v>
      </c>
    </row>
    <row r="44" spans="1:6" ht="165.75" thickBot="1" x14ac:dyDescent="0.3">
      <c r="A44" s="4">
        <f>_xlfn.XLOOKUP(E44,Orden_preguntas!$B:$B,Orden_preguntas!$A:$A)</f>
        <v>43</v>
      </c>
      <c r="B44" s="6" t="s">
        <v>146</v>
      </c>
      <c r="C44" s="6">
        <v>0.3</v>
      </c>
      <c r="D44" s="6" t="s">
        <v>196</v>
      </c>
      <c r="E44" s="17" t="s">
        <v>1059</v>
      </c>
    </row>
    <row r="45" spans="1:6" ht="135.75" thickBot="1" x14ac:dyDescent="0.3">
      <c r="A45" s="4">
        <f>_xlfn.XLOOKUP(E45,Orden_preguntas!$B:$B,Orden_preguntas!$A:$A)</f>
        <v>44</v>
      </c>
      <c r="B45" s="6" t="s">
        <v>143</v>
      </c>
      <c r="C45" s="6">
        <v>1</v>
      </c>
      <c r="D45" s="6" t="s">
        <v>193</v>
      </c>
      <c r="E45" s="17" t="s">
        <v>1058</v>
      </c>
    </row>
    <row r="46" spans="1:6" s="23" customFormat="1" ht="150.75" thickBot="1" x14ac:dyDescent="0.3">
      <c r="A46" s="19">
        <f>_xlfn.XLOOKUP(E46,Orden_preguntas!$B:$B,Orden_preguntas!$A:$A)</f>
        <v>45</v>
      </c>
      <c r="B46" s="20" t="s">
        <v>145</v>
      </c>
      <c r="C46" s="20">
        <v>1</v>
      </c>
      <c r="D46" s="20" t="s">
        <v>195</v>
      </c>
      <c r="E46" s="22" t="s">
        <v>1061</v>
      </c>
    </row>
    <row r="47" spans="1:6" ht="105.75" thickBot="1" x14ac:dyDescent="0.3">
      <c r="A47" s="4">
        <f>_xlfn.XLOOKUP(E47,Orden_preguntas!$B:$B,Orden_preguntas!$A:$A)</f>
        <v>46</v>
      </c>
      <c r="B47" s="6" t="s">
        <v>152</v>
      </c>
      <c r="C47" s="6">
        <v>0.8</v>
      </c>
      <c r="D47" s="6" t="s">
        <v>202</v>
      </c>
      <c r="E47" s="17" t="s">
        <v>1060</v>
      </c>
    </row>
    <row r="48" spans="1:6" s="28" customFormat="1" ht="135.75" thickBot="1" x14ac:dyDescent="0.3">
      <c r="A48" s="25">
        <f>_xlfn.XLOOKUP(E48,Orden_preguntas!$B:$B,Orden_preguntas!$A:$A)</f>
        <v>47</v>
      </c>
      <c r="B48" s="26" t="s">
        <v>149</v>
      </c>
      <c r="C48" s="26">
        <v>0.3</v>
      </c>
      <c r="D48" s="26" t="s">
        <v>199</v>
      </c>
      <c r="E48" s="27" t="s">
        <v>1062</v>
      </c>
      <c r="F48" s="28" t="s">
        <v>1075</v>
      </c>
    </row>
    <row r="49" spans="1:6" s="14" customFormat="1" ht="165.75" thickBot="1" x14ac:dyDescent="0.3">
      <c r="A49" s="11">
        <f>_xlfn.XLOOKUP(E49,Orden_preguntas!$B:$B,Orden_preguntas!$A:$A)</f>
        <v>48</v>
      </c>
      <c r="B49" s="12" t="s">
        <v>151</v>
      </c>
      <c r="C49" s="12">
        <v>0.8</v>
      </c>
      <c r="D49" s="12" t="s">
        <v>201</v>
      </c>
      <c r="E49" s="18" t="s">
        <v>1066</v>
      </c>
      <c r="F49" s="14" t="s">
        <v>1076</v>
      </c>
    </row>
    <row r="50" spans="1:6" s="23" customFormat="1" ht="195.75" thickBot="1" x14ac:dyDescent="0.3">
      <c r="A50" s="19">
        <f>_xlfn.XLOOKUP(E50,Orden_preguntas!$B:$B,Orden_preguntas!$A:$A)</f>
        <v>49</v>
      </c>
      <c r="B50" s="20" t="s">
        <v>148</v>
      </c>
      <c r="C50" s="20">
        <v>1</v>
      </c>
      <c r="D50" s="20" t="s">
        <v>198</v>
      </c>
      <c r="E50" s="22" t="s">
        <v>1063</v>
      </c>
    </row>
    <row r="51" spans="1:6" ht="210.75" thickBot="1" x14ac:dyDescent="0.3">
      <c r="A51" s="4">
        <f>_xlfn.XLOOKUP(E51,Orden_preguntas!$B:$B,Orden_preguntas!$A:$A)</f>
        <v>50</v>
      </c>
      <c r="B51" s="6" t="s">
        <v>150</v>
      </c>
      <c r="C51" s="6">
        <v>0.6</v>
      </c>
      <c r="D51" s="6" t="s">
        <v>200</v>
      </c>
      <c r="E51" s="17" t="s">
        <v>1064</v>
      </c>
    </row>
    <row r="52" spans="1:6" ht="15.75" thickBot="1" x14ac:dyDescent="0.3">
      <c r="E52" s="17"/>
    </row>
    <row r="53" spans="1:6" ht="15.75" thickBot="1" x14ac:dyDescent="0.3">
      <c r="E53" s="17"/>
    </row>
    <row r="54" spans="1:6" ht="15.75" thickBot="1" x14ac:dyDescent="0.3">
      <c r="E54" s="17"/>
    </row>
    <row r="55" spans="1:6" ht="15.75" thickBot="1" x14ac:dyDescent="0.3">
      <c r="E55" s="17"/>
    </row>
    <row r="56" spans="1:6" ht="15.75" thickBot="1" x14ac:dyDescent="0.3">
      <c r="E56" s="17"/>
    </row>
    <row r="57" spans="1:6" ht="15.75" thickBot="1" x14ac:dyDescent="0.3">
      <c r="E57" s="17"/>
    </row>
    <row r="58" spans="1:6" ht="15.75" thickBot="1" x14ac:dyDescent="0.3">
      <c r="E58" s="17"/>
    </row>
    <row r="59" spans="1:6" ht="15.75" thickBot="1" x14ac:dyDescent="0.3">
      <c r="E59" s="17"/>
    </row>
    <row r="60" spans="1:6" ht="15.75" thickBot="1" x14ac:dyDescent="0.3">
      <c r="E60" s="17"/>
    </row>
    <row r="61" spans="1:6" ht="15.75" thickBot="1" x14ac:dyDescent="0.3">
      <c r="E61" s="17"/>
    </row>
    <row r="62" spans="1:6" ht="15.75" thickBot="1" x14ac:dyDescent="0.3">
      <c r="E62" s="17"/>
    </row>
    <row r="63" spans="1:6" ht="15.75" thickBot="1" x14ac:dyDescent="0.3">
      <c r="E63" s="17"/>
    </row>
    <row r="64" spans="1:6" ht="15.75" thickBot="1" x14ac:dyDescent="0.3">
      <c r="E64" s="17"/>
    </row>
    <row r="65" spans="5:5" ht="15.75" thickBot="1" x14ac:dyDescent="0.3">
      <c r="E65" s="17"/>
    </row>
    <row r="66" spans="5:5" ht="15.75" thickBot="1" x14ac:dyDescent="0.3">
      <c r="E66" s="17"/>
    </row>
    <row r="67" spans="5:5" ht="15.75" thickBot="1" x14ac:dyDescent="0.3">
      <c r="E67" s="17"/>
    </row>
    <row r="68" spans="5:5" ht="15.75" thickBot="1" x14ac:dyDescent="0.3">
      <c r="E68" s="17"/>
    </row>
    <row r="69" spans="5:5" ht="15.75" thickBot="1" x14ac:dyDescent="0.3">
      <c r="E69" s="17"/>
    </row>
    <row r="70" spans="5:5" ht="15.75" thickBot="1" x14ac:dyDescent="0.3">
      <c r="E70" s="17"/>
    </row>
    <row r="71" spans="5:5" ht="15.75" thickBot="1" x14ac:dyDescent="0.3">
      <c r="E71" s="17"/>
    </row>
    <row r="72" spans="5:5" ht="15.75" thickBot="1" x14ac:dyDescent="0.3">
      <c r="E72" s="17"/>
    </row>
    <row r="73" spans="5:5" ht="15.75" thickBot="1" x14ac:dyDescent="0.3">
      <c r="E73" s="17"/>
    </row>
    <row r="74" spans="5:5" ht="15.75" thickBot="1" x14ac:dyDescent="0.3">
      <c r="E74" s="17"/>
    </row>
    <row r="75" spans="5:5" ht="15.75" thickBot="1" x14ac:dyDescent="0.3">
      <c r="E75" s="17"/>
    </row>
    <row r="76" spans="5:5" ht="15.75" thickBot="1" x14ac:dyDescent="0.3">
      <c r="E76" s="17"/>
    </row>
    <row r="77" spans="5:5" ht="15.75" thickBot="1" x14ac:dyDescent="0.3">
      <c r="E77" s="17"/>
    </row>
    <row r="78" spans="5:5" ht="15.75" thickBot="1" x14ac:dyDescent="0.3">
      <c r="E78" s="17"/>
    </row>
    <row r="79" spans="5:5" ht="15.75" thickBot="1" x14ac:dyDescent="0.3">
      <c r="E79" s="17"/>
    </row>
    <row r="80" spans="5:5" ht="15.75" thickBot="1" x14ac:dyDescent="0.3">
      <c r="E80" s="17"/>
    </row>
    <row r="81" spans="5:5" ht="15.75" thickBot="1" x14ac:dyDescent="0.3">
      <c r="E81" s="17"/>
    </row>
    <row r="82" spans="5:5" ht="15.75" thickBot="1" x14ac:dyDescent="0.3">
      <c r="E82" s="17"/>
    </row>
    <row r="83" spans="5:5" ht="15.75" thickBot="1" x14ac:dyDescent="0.3">
      <c r="E83" s="17"/>
    </row>
    <row r="84" spans="5:5" ht="15.75" thickBot="1" x14ac:dyDescent="0.3">
      <c r="E84" s="17"/>
    </row>
    <row r="85" spans="5:5" ht="15.75" thickBot="1" x14ac:dyDescent="0.3">
      <c r="E85" s="17"/>
    </row>
    <row r="86" spans="5:5" ht="15.75" thickBot="1" x14ac:dyDescent="0.3">
      <c r="E86" s="17"/>
    </row>
    <row r="87" spans="5:5" ht="15.75" thickBot="1" x14ac:dyDescent="0.3">
      <c r="E87" s="17"/>
    </row>
    <row r="88" spans="5:5" ht="15.75" thickBot="1" x14ac:dyDescent="0.3">
      <c r="E88" s="17"/>
    </row>
    <row r="89" spans="5:5" ht="15.75" thickBot="1" x14ac:dyDescent="0.3">
      <c r="E89" s="17"/>
    </row>
    <row r="90" spans="5:5" ht="15.75" thickBot="1" x14ac:dyDescent="0.3">
      <c r="E90" s="17"/>
    </row>
    <row r="91" spans="5:5" ht="15.75" thickBot="1" x14ac:dyDescent="0.3">
      <c r="E91" s="17"/>
    </row>
    <row r="92" spans="5:5" ht="15.75" thickBot="1" x14ac:dyDescent="0.3">
      <c r="E92" s="17"/>
    </row>
    <row r="93" spans="5:5" ht="15.75" thickBot="1" x14ac:dyDescent="0.3">
      <c r="E93" s="17"/>
    </row>
    <row r="94" spans="5:5" ht="15.75" thickBot="1" x14ac:dyDescent="0.3">
      <c r="E94" s="17"/>
    </row>
    <row r="95" spans="5:5" ht="15.75" thickBot="1" x14ac:dyDescent="0.3">
      <c r="E95" s="17"/>
    </row>
    <row r="96" spans="5:5" ht="15.75" thickBot="1" x14ac:dyDescent="0.3">
      <c r="E96" s="17"/>
    </row>
    <row r="97" spans="5:5" ht="15.75" thickBot="1" x14ac:dyDescent="0.3">
      <c r="E97" s="17"/>
    </row>
    <row r="98" spans="5:5" ht="15.75" thickBot="1" x14ac:dyDescent="0.3">
      <c r="E98" s="17"/>
    </row>
    <row r="99" spans="5:5" ht="15.75" thickBot="1" x14ac:dyDescent="0.3">
      <c r="E99" s="17"/>
    </row>
    <row r="100" spans="5:5" ht="15.75" thickBot="1" x14ac:dyDescent="0.3">
      <c r="E100" s="17"/>
    </row>
    <row r="101" spans="5:5" ht="15.75" thickBot="1" x14ac:dyDescent="0.3">
      <c r="E101" s="17"/>
    </row>
    <row r="102" spans="5:5" ht="15.75" thickBot="1" x14ac:dyDescent="0.3">
      <c r="E102" s="17"/>
    </row>
    <row r="103" spans="5:5" ht="15.75" thickBot="1" x14ac:dyDescent="0.3">
      <c r="E103" s="17"/>
    </row>
    <row r="104" spans="5:5" ht="15.75" thickBot="1" x14ac:dyDescent="0.3">
      <c r="E104" s="17"/>
    </row>
    <row r="105" spans="5:5" ht="15.75" thickBot="1" x14ac:dyDescent="0.3">
      <c r="E105" s="17"/>
    </row>
    <row r="106" spans="5:5" ht="15.75" thickBot="1" x14ac:dyDescent="0.3">
      <c r="E106" s="17"/>
    </row>
    <row r="107" spans="5:5" ht="15.75" thickBot="1" x14ac:dyDescent="0.3">
      <c r="E107" s="17"/>
    </row>
    <row r="108" spans="5:5" ht="15.75" thickBot="1" x14ac:dyDescent="0.3">
      <c r="E108" s="17"/>
    </row>
    <row r="109" spans="5:5" ht="15.75" thickBot="1" x14ac:dyDescent="0.3">
      <c r="E109" s="17"/>
    </row>
    <row r="110" spans="5:5" ht="15.75" thickBot="1" x14ac:dyDescent="0.3">
      <c r="E110" s="17"/>
    </row>
    <row r="111" spans="5:5" ht="15.75" thickBot="1" x14ac:dyDescent="0.3">
      <c r="E111" s="17"/>
    </row>
    <row r="112" spans="5:5" ht="15.75" thickBot="1" x14ac:dyDescent="0.3">
      <c r="E112" s="17"/>
    </row>
    <row r="113" spans="5:5" ht="15.75" thickBot="1" x14ac:dyDescent="0.3">
      <c r="E113" s="17"/>
    </row>
    <row r="114" spans="5:5" ht="15.75" thickBot="1" x14ac:dyDescent="0.3">
      <c r="E114" s="17"/>
    </row>
    <row r="115" spans="5:5" ht="15.75" thickBot="1" x14ac:dyDescent="0.3">
      <c r="E115" s="17"/>
    </row>
    <row r="116" spans="5:5" ht="15.75" thickBot="1" x14ac:dyDescent="0.3">
      <c r="E116" s="17"/>
    </row>
    <row r="117" spans="5:5" ht="15.75" thickBot="1" x14ac:dyDescent="0.3">
      <c r="E117" s="17"/>
    </row>
    <row r="118" spans="5:5" ht="15.75" thickBot="1" x14ac:dyDescent="0.3">
      <c r="E118" s="17"/>
    </row>
    <row r="119" spans="5:5" ht="15.75" thickBot="1" x14ac:dyDescent="0.3">
      <c r="E119" s="17"/>
    </row>
    <row r="120" spans="5:5" ht="15.75" thickBot="1" x14ac:dyDescent="0.3">
      <c r="E120" s="17"/>
    </row>
    <row r="121" spans="5:5" ht="15.75" thickBot="1" x14ac:dyDescent="0.3">
      <c r="E121" s="17"/>
    </row>
    <row r="122" spans="5:5" ht="15.75" thickBot="1" x14ac:dyDescent="0.3">
      <c r="E122" s="17"/>
    </row>
    <row r="123" spans="5:5" ht="15.75" thickBot="1" x14ac:dyDescent="0.3">
      <c r="E123" s="17"/>
    </row>
    <row r="124" spans="5:5" ht="15.75" thickBot="1" x14ac:dyDescent="0.3">
      <c r="E124" s="17"/>
    </row>
    <row r="125" spans="5:5" ht="15.75" thickBot="1" x14ac:dyDescent="0.3">
      <c r="E125" s="17"/>
    </row>
    <row r="126" spans="5:5" ht="15.75" thickBot="1" x14ac:dyDescent="0.3">
      <c r="E126" s="17"/>
    </row>
    <row r="127" spans="5:5" ht="15.75" thickBot="1" x14ac:dyDescent="0.3">
      <c r="E127" s="17"/>
    </row>
    <row r="128" spans="5:5" ht="15.75" thickBot="1" x14ac:dyDescent="0.3">
      <c r="E128" s="17"/>
    </row>
    <row r="129" spans="5:5" ht="15.75" thickBot="1" x14ac:dyDescent="0.3">
      <c r="E129" s="17"/>
    </row>
    <row r="130" spans="5:5" ht="15.75" thickBot="1" x14ac:dyDescent="0.3">
      <c r="E130" s="17"/>
    </row>
    <row r="131" spans="5:5" ht="15.75" thickBot="1" x14ac:dyDescent="0.3">
      <c r="E131" s="17"/>
    </row>
    <row r="132" spans="5:5" ht="15.75" thickBot="1" x14ac:dyDescent="0.3">
      <c r="E132" s="17"/>
    </row>
    <row r="133" spans="5:5" ht="15.75" thickBot="1" x14ac:dyDescent="0.3">
      <c r="E133" s="17"/>
    </row>
    <row r="134" spans="5:5" ht="15.75" thickBot="1" x14ac:dyDescent="0.3">
      <c r="E134" s="17"/>
    </row>
    <row r="135" spans="5:5" ht="15.75" thickBot="1" x14ac:dyDescent="0.3">
      <c r="E135" s="17"/>
    </row>
    <row r="136" spans="5:5" ht="15.75" thickBot="1" x14ac:dyDescent="0.3">
      <c r="E136" s="17"/>
    </row>
    <row r="137" spans="5:5" ht="15.75" thickBot="1" x14ac:dyDescent="0.3">
      <c r="E137" s="17"/>
    </row>
    <row r="138" spans="5:5" ht="15.75" thickBot="1" x14ac:dyDescent="0.3">
      <c r="E138" s="17"/>
    </row>
    <row r="139" spans="5:5" ht="15.75" thickBot="1" x14ac:dyDescent="0.3">
      <c r="E139" s="17"/>
    </row>
    <row r="140" spans="5:5" ht="15.75" thickBot="1" x14ac:dyDescent="0.3">
      <c r="E140" s="17"/>
    </row>
    <row r="141" spans="5:5" ht="15.75" thickBot="1" x14ac:dyDescent="0.3">
      <c r="E141" s="17"/>
    </row>
    <row r="142" spans="5:5" ht="15.75" thickBot="1" x14ac:dyDescent="0.3">
      <c r="E142" s="17"/>
    </row>
    <row r="143" spans="5:5" ht="15.75" thickBot="1" x14ac:dyDescent="0.3">
      <c r="E143" s="17"/>
    </row>
    <row r="144" spans="5:5" ht="15.75" thickBot="1" x14ac:dyDescent="0.3">
      <c r="E144" s="17"/>
    </row>
    <row r="145" spans="5:5" ht="15.75" thickBot="1" x14ac:dyDescent="0.3">
      <c r="E145" s="17"/>
    </row>
    <row r="146" spans="5:5" ht="15.75" thickBot="1" x14ac:dyDescent="0.3">
      <c r="E146" s="17"/>
    </row>
    <row r="147" spans="5:5" ht="15.75" thickBot="1" x14ac:dyDescent="0.3">
      <c r="E147" s="17"/>
    </row>
    <row r="148" spans="5:5" ht="15.75" thickBot="1" x14ac:dyDescent="0.3">
      <c r="E148" s="17"/>
    </row>
    <row r="149" spans="5:5" ht="15.75" thickBot="1" x14ac:dyDescent="0.3">
      <c r="E149" s="17"/>
    </row>
    <row r="150" spans="5:5" ht="15.75" thickBot="1" x14ac:dyDescent="0.3">
      <c r="E150" s="17"/>
    </row>
    <row r="151" spans="5:5" ht="15.75" thickBot="1" x14ac:dyDescent="0.3">
      <c r="E151" s="17"/>
    </row>
    <row r="152" spans="5:5" ht="15.75" thickBot="1" x14ac:dyDescent="0.3">
      <c r="E152" s="17"/>
    </row>
    <row r="153" spans="5:5" ht="15.75" thickBot="1" x14ac:dyDescent="0.3">
      <c r="E153" s="17"/>
    </row>
    <row r="154" spans="5:5" ht="15.75" thickBot="1" x14ac:dyDescent="0.3">
      <c r="E154" s="17"/>
    </row>
    <row r="155" spans="5:5" ht="15.75" thickBot="1" x14ac:dyDescent="0.3">
      <c r="E155" s="17"/>
    </row>
    <row r="156" spans="5:5" ht="15.75" thickBot="1" x14ac:dyDescent="0.3">
      <c r="E156" s="17"/>
    </row>
    <row r="157" spans="5:5" ht="15.75" thickBot="1" x14ac:dyDescent="0.3">
      <c r="E157" s="17"/>
    </row>
    <row r="158" spans="5:5" ht="15.75" thickBot="1" x14ac:dyDescent="0.3">
      <c r="E158" s="17"/>
    </row>
    <row r="159" spans="5:5" ht="15.75" thickBot="1" x14ac:dyDescent="0.3">
      <c r="E159" s="17"/>
    </row>
    <row r="160" spans="5:5" ht="15.75" thickBot="1" x14ac:dyDescent="0.3">
      <c r="E160" s="17"/>
    </row>
    <row r="161" spans="5:5" ht="15.75" thickBot="1" x14ac:dyDescent="0.3">
      <c r="E161" s="17"/>
    </row>
    <row r="162" spans="5:5" ht="15.75" thickBot="1" x14ac:dyDescent="0.3">
      <c r="E162" s="17"/>
    </row>
    <row r="163" spans="5:5" ht="15.75" thickBot="1" x14ac:dyDescent="0.3">
      <c r="E163" s="17"/>
    </row>
    <row r="164" spans="5:5" ht="15.75" thickBot="1" x14ac:dyDescent="0.3">
      <c r="E164" s="17"/>
    </row>
    <row r="165" spans="5:5" ht="15.75" thickBot="1" x14ac:dyDescent="0.3">
      <c r="E165" s="17"/>
    </row>
    <row r="166" spans="5:5" ht="15.75" thickBot="1" x14ac:dyDescent="0.3">
      <c r="E166" s="17"/>
    </row>
    <row r="167" spans="5:5" ht="15.75" thickBot="1" x14ac:dyDescent="0.3">
      <c r="E167" s="17"/>
    </row>
    <row r="168" spans="5:5" ht="15.75" thickBot="1" x14ac:dyDescent="0.3">
      <c r="E168" s="17"/>
    </row>
    <row r="169" spans="5:5" ht="15.75" thickBot="1" x14ac:dyDescent="0.3">
      <c r="E169" s="17"/>
    </row>
    <row r="170" spans="5:5" ht="15.75" thickBot="1" x14ac:dyDescent="0.3">
      <c r="E170" s="17"/>
    </row>
    <row r="171" spans="5:5" ht="15.75" thickBot="1" x14ac:dyDescent="0.3">
      <c r="E171" s="17"/>
    </row>
    <row r="172" spans="5:5" ht="15.75" thickBot="1" x14ac:dyDescent="0.3">
      <c r="E172" s="17"/>
    </row>
    <row r="173" spans="5:5" ht="15.75" thickBot="1" x14ac:dyDescent="0.3">
      <c r="E173" s="17"/>
    </row>
    <row r="174" spans="5:5" ht="15.75" thickBot="1" x14ac:dyDescent="0.3">
      <c r="E174" s="17"/>
    </row>
    <row r="175" spans="5:5" ht="15.75" thickBot="1" x14ac:dyDescent="0.3">
      <c r="E175" s="17"/>
    </row>
    <row r="176" spans="5:5" ht="15.75" thickBot="1" x14ac:dyDescent="0.3">
      <c r="E176" s="17"/>
    </row>
    <row r="177" spans="5:5" ht="15.75" thickBot="1" x14ac:dyDescent="0.3">
      <c r="E177" s="17"/>
    </row>
    <row r="178" spans="5:5" ht="15.75" thickBot="1" x14ac:dyDescent="0.3">
      <c r="E178" s="17"/>
    </row>
    <row r="179" spans="5:5" ht="15.75" thickBot="1" x14ac:dyDescent="0.3">
      <c r="E179" s="17"/>
    </row>
    <row r="180" spans="5:5" ht="15.75" thickBot="1" x14ac:dyDescent="0.3">
      <c r="E180" s="17"/>
    </row>
    <row r="181" spans="5:5" ht="15.75" thickBot="1" x14ac:dyDescent="0.3">
      <c r="E181" s="17"/>
    </row>
    <row r="182" spans="5:5" ht="15.75" thickBot="1" x14ac:dyDescent="0.3">
      <c r="E182" s="17"/>
    </row>
    <row r="183" spans="5:5" ht="15.75" thickBot="1" x14ac:dyDescent="0.3">
      <c r="E183" s="17"/>
    </row>
    <row r="184" spans="5:5" ht="15.75" thickBot="1" x14ac:dyDescent="0.3">
      <c r="E184" s="17"/>
    </row>
    <row r="185" spans="5:5" ht="15.75" thickBot="1" x14ac:dyDescent="0.3">
      <c r="E185" s="17"/>
    </row>
    <row r="186" spans="5:5" ht="15.75" thickBot="1" x14ac:dyDescent="0.3">
      <c r="E186" s="17"/>
    </row>
    <row r="187" spans="5:5" ht="15.75" thickBot="1" x14ac:dyDescent="0.3">
      <c r="E187" s="17"/>
    </row>
    <row r="188" spans="5:5" ht="15.75" thickBot="1" x14ac:dyDescent="0.3">
      <c r="E188" s="17"/>
    </row>
    <row r="189" spans="5:5" ht="15.75" thickBot="1" x14ac:dyDescent="0.3">
      <c r="E189" s="17"/>
    </row>
    <row r="190" spans="5:5" ht="15.75" thickBot="1" x14ac:dyDescent="0.3">
      <c r="E190" s="17"/>
    </row>
    <row r="191" spans="5:5" ht="15.75" thickBot="1" x14ac:dyDescent="0.3">
      <c r="E191" s="17"/>
    </row>
    <row r="192" spans="5:5" ht="15.75" thickBot="1" x14ac:dyDescent="0.3">
      <c r="E192" s="17"/>
    </row>
    <row r="193" spans="5:5" ht="15.75" thickBot="1" x14ac:dyDescent="0.3">
      <c r="E193" s="17"/>
    </row>
    <row r="194" spans="5:5" ht="15.75" thickBot="1" x14ac:dyDescent="0.3">
      <c r="E194" s="17"/>
    </row>
    <row r="195" spans="5:5" ht="15.75" thickBot="1" x14ac:dyDescent="0.3">
      <c r="E195" s="17"/>
    </row>
    <row r="196" spans="5:5" ht="15.75" thickBot="1" x14ac:dyDescent="0.3">
      <c r="E196" s="17"/>
    </row>
    <row r="197" spans="5:5" ht="15.75" thickBot="1" x14ac:dyDescent="0.3">
      <c r="E197" s="17"/>
    </row>
    <row r="198" spans="5:5" ht="15.75" thickBot="1" x14ac:dyDescent="0.3">
      <c r="E198" s="17"/>
    </row>
    <row r="199" spans="5:5" ht="15.75" thickBot="1" x14ac:dyDescent="0.3">
      <c r="E199" s="17"/>
    </row>
    <row r="200" spans="5:5" ht="15.75" thickBot="1" x14ac:dyDescent="0.3">
      <c r="E200" s="17"/>
    </row>
    <row r="201" spans="5:5" ht="15.75" thickBot="1" x14ac:dyDescent="0.3">
      <c r="E201" s="17"/>
    </row>
    <row r="202" spans="5:5" ht="15.75" thickBot="1" x14ac:dyDescent="0.3">
      <c r="E202" s="17"/>
    </row>
    <row r="203" spans="5:5" ht="15.75" thickBot="1" x14ac:dyDescent="0.3">
      <c r="E203" s="17"/>
    </row>
    <row r="204" spans="5:5" ht="15.75" thickBot="1" x14ac:dyDescent="0.3">
      <c r="E204" s="17"/>
    </row>
    <row r="205" spans="5:5" ht="15.75" thickBot="1" x14ac:dyDescent="0.3">
      <c r="E205" s="17"/>
    </row>
    <row r="206" spans="5:5" ht="15.75" thickBot="1" x14ac:dyDescent="0.3">
      <c r="E206" s="17"/>
    </row>
    <row r="207" spans="5:5" ht="15.75" thickBot="1" x14ac:dyDescent="0.3">
      <c r="E207" s="17"/>
    </row>
    <row r="208" spans="5:5" ht="15.75" thickBot="1" x14ac:dyDescent="0.3">
      <c r="E208" s="17"/>
    </row>
    <row r="209" spans="5:5" ht="15.75" thickBot="1" x14ac:dyDescent="0.3">
      <c r="E209" s="17"/>
    </row>
    <row r="210" spans="5:5" ht="15.75" thickBot="1" x14ac:dyDescent="0.3">
      <c r="E210" s="17"/>
    </row>
    <row r="211" spans="5:5" ht="15.75" thickBot="1" x14ac:dyDescent="0.3">
      <c r="E211" s="17"/>
    </row>
    <row r="212" spans="5:5" ht="15.75" thickBot="1" x14ac:dyDescent="0.3">
      <c r="E212" s="17"/>
    </row>
    <row r="213" spans="5:5" ht="15.75" thickBot="1" x14ac:dyDescent="0.3">
      <c r="E213" s="17"/>
    </row>
    <row r="214" spans="5:5" ht="15.75" thickBot="1" x14ac:dyDescent="0.3">
      <c r="E214" s="17"/>
    </row>
    <row r="215" spans="5:5" ht="15.75" thickBot="1" x14ac:dyDescent="0.3">
      <c r="E215" s="17"/>
    </row>
    <row r="216" spans="5:5" ht="15.75" thickBot="1" x14ac:dyDescent="0.3">
      <c r="E216" s="17"/>
    </row>
    <row r="217" spans="5:5" ht="15.75" thickBot="1" x14ac:dyDescent="0.3">
      <c r="E217" s="17"/>
    </row>
    <row r="218" spans="5:5" ht="15.75" thickBot="1" x14ac:dyDescent="0.3">
      <c r="E218" s="17"/>
    </row>
    <row r="219" spans="5:5" ht="15.75" thickBot="1" x14ac:dyDescent="0.3">
      <c r="E219" s="17"/>
    </row>
    <row r="220" spans="5:5" ht="15.75" thickBot="1" x14ac:dyDescent="0.3">
      <c r="E220" s="17"/>
    </row>
    <row r="221" spans="5:5" ht="15.75" thickBot="1" x14ac:dyDescent="0.3">
      <c r="E221" s="17"/>
    </row>
    <row r="222" spans="5:5" ht="15.75" thickBot="1" x14ac:dyDescent="0.3">
      <c r="E222" s="17"/>
    </row>
    <row r="223" spans="5:5" ht="15.75" thickBot="1" x14ac:dyDescent="0.3">
      <c r="E223" s="17"/>
    </row>
    <row r="224" spans="5:5" ht="15.75" thickBot="1" x14ac:dyDescent="0.3">
      <c r="E224" s="17"/>
    </row>
    <row r="225" spans="5:5" ht="15.75" thickBot="1" x14ac:dyDescent="0.3">
      <c r="E225" s="17"/>
    </row>
    <row r="226" spans="5:5" ht="15.75" thickBot="1" x14ac:dyDescent="0.3">
      <c r="E226" s="17"/>
    </row>
    <row r="227" spans="5:5" ht="15.75" thickBot="1" x14ac:dyDescent="0.3">
      <c r="E227" s="17"/>
    </row>
    <row r="228" spans="5:5" ht="15.75" thickBot="1" x14ac:dyDescent="0.3">
      <c r="E228" s="17"/>
    </row>
    <row r="229" spans="5:5" ht="15.75" thickBot="1" x14ac:dyDescent="0.3">
      <c r="E229" s="17"/>
    </row>
    <row r="230" spans="5:5" ht="15.75" thickBot="1" x14ac:dyDescent="0.3">
      <c r="E230" s="17"/>
    </row>
    <row r="231" spans="5:5" ht="15.75" thickBot="1" x14ac:dyDescent="0.3">
      <c r="E231" s="17"/>
    </row>
    <row r="232" spans="5:5" ht="15.75" thickBot="1" x14ac:dyDescent="0.3">
      <c r="E232" s="17"/>
    </row>
    <row r="233" spans="5:5" ht="15.75" thickBot="1" x14ac:dyDescent="0.3">
      <c r="E233" s="17"/>
    </row>
    <row r="234" spans="5:5" ht="15.75" thickBot="1" x14ac:dyDescent="0.3">
      <c r="E234" s="17"/>
    </row>
    <row r="235" spans="5:5" ht="15.75" thickBot="1" x14ac:dyDescent="0.3">
      <c r="E235" s="17"/>
    </row>
    <row r="236" spans="5:5" ht="15.75" thickBot="1" x14ac:dyDescent="0.3">
      <c r="E236" s="17"/>
    </row>
    <row r="237" spans="5:5" ht="15.75" thickBot="1" x14ac:dyDescent="0.3">
      <c r="E237" s="17"/>
    </row>
    <row r="238" spans="5:5" ht="15.75" thickBot="1" x14ac:dyDescent="0.3">
      <c r="E238" s="17"/>
    </row>
    <row r="239" spans="5:5" ht="15.75" thickBot="1" x14ac:dyDescent="0.3">
      <c r="E239" s="17"/>
    </row>
    <row r="240" spans="5:5" ht="15.75" thickBot="1" x14ac:dyDescent="0.3">
      <c r="E240" s="17"/>
    </row>
    <row r="241" spans="5:5" ht="15.75" thickBot="1" x14ac:dyDescent="0.3">
      <c r="E241" s="17"/>
    </row>
    <row r="242" spans="5:5" ht="15.75" thickBot="1" x14ac:dyDescent="0.3">
      <c r="E242" s="17"/>
    </row>
    <row r="243" spans="5:5" ht="15.75" thickBot="1" x14ac:dyDescent="0.3">
      <c r="E243" s="17"/>
    </row>
    <row r="244" spans="5:5" ht="15.75" thickBot="1" x14ac:dyDescent="0.3">
      <c r="E244" s="17"/>
    </row>
    <row r="245" spans="5:5" ht="15.75" thickBot="1" x14ac:dyDescent="0.3">
      <c r="E245" s="17"/>
    </row>
    <row r="246" spans="5:5" ht="15.75" thickBot="1" x14ac:dyDescent="0.3">
      <c r="E246" s="17"/>
    </row>
    <row r="247" spans="5:5" ht="15.75" thickBot="1" x14ac:dyDescent="0.3">
      <c r="E247" s="17"/>
    </row>
    <row r="248" spans="5:5" ht="15.75" thickBot="1" x14ac:dyDescent="0.3">
      <c r="E248" s="17"/>
    </row>
    <row r="249" spans="5:5" ht="15.75" thickBot="1" x14ac:dyDescent="0.3">
      <c r="E249" s="17"/>
    </row>
    <row r="250" spans="5:5" ht="15.75" thickBot="1" x14ac:dyDescent="0.3">
      <c r="E250" s="17"/>
    </row>
    <row r="251" spans="5:5" ht="15.75" thickBot="1" x14ac:dyDescent="0.3">
      <c r="E251" s="17"/>
    </row>
    <row r="252" spans="5:5" ht="15.75" thickBot="1" x14ac:dyDescent="0.3">
      <c r="E252" s="17"/>
    </row>
    <row r="253" spans="5:5" ht="15.75" thickBot="1" x14ac:dyDescent="0.3">
      <c r="E253" s="17"/>
    </row>
    <row r="254" spans="5:5" ht="15.75" thickBot="1" x14ac:dyDescent="0.3">
      <c r="E254" s="17"/>
    </row>
    <row r="255" spans="5:5" ht="15.75" thickBot="1" x14ac:dyDescent="0.3">
      <c r="E255" s="17"/>
    </row>
    <row r="256" spans="5:5" ht="15.75" thickBot="1" x14ac:dyDescent="0.3">
      <c r="E256" s="17"/>
    </row>
    <row r="257" spans="5:5" ht="15.75" thickBot="1" x14ac:dyDescent="0.3">
      <c r="E257" s="17"/>
    </row>
    <row r="258" spans="5:5" ht="15.75" thickBot="1" x14ac:dyDescent="0.3">
      <c r="E258" s="17"/>
    </row>
    <row r="259" spans="5:5" ht="15.75" thickBot="1" x14ac:dyDescent="0.3">
      <c r="E259" s="17"/>
    </row>
    <row r="260" spans="5:5" ht="15.75" thickBot="1" x14ac:dyDescent="0.3">
      <c r="E260" s="17"/>
    </row>
    <row r="261" spans="5:5" ht="15.75" thickBot="1" x14ac:dyDescent="0.3">
      <c r="E261" s="17"/>
    </row>
    <row r="262" spans="5:5" ht="15.75" thickBot="1" x14ac:dyDescent="0.3">
      <c r="E262" s="17"/>
    </row>
    <row r="263" spans="5:5" ht="15.75" thickBot="1" x14ac:dyDescent="0.3">
      <c r="E263" s="17"/>
    </row>
    <row r="264" spans="5:5" ht="15.75" thickBot="1" x14ac:dyDescent="0.3">
      <c r="E264" s="17"/>
    </row>
    <row r="265" spans="5:5" ht="15.75" thickBot="1" x14ac:dyDescent="0.3">
      <c r="E265" s="17"/>
    </row>
    <row r="266" spans="5:5" ht="15.75" thickBot="1" x14ac:dyDescent="0.3">
      <c r="E266" s="17"/>
    </row>
    <row r="267" spans="5:5" ht="15.75" thickBot="1" x14ac:dyDescent="0.3">
      <c r="E267" s="17"/>
    </row>
    <row r="268" spans="5:5" ht="15.75" thickBot="1" x14ac:dyDescent="0.3">
      <c r="E268" s="17"/>
    </row>
    <row r="269" spans="5:5" ht="15.75" thickBot="1" x14ac:dyDescent="0.3">
      <c r="E269" s="17"/>
    </row>
    <row r="270" spans="5:5" ht="15.75" thickBot="1" x14ac:dyDescent="0.3">
      <c r="E270" s="17"/>
    </row>
    <row r="271" spans="5:5" ht="15.75" thickBot="1" x14ac:dyDescent="0.3">
      <c r="E271" s="17"/>
    </row>
    <row r="272" spans="5:5" ht="15.75" thickBot="1" x14ac:dyDescent="0.3">
      <c r="E272" s="17"/>
    </row>
    <row r="273" spans="5:5" ht="15.75" thickBot="1" x14ac:dyDescent="0.3">
      <c r="E273" s="17"/>
    </row>
    <row r="274" spans="5:5" ht="15.75" thickBot="1" x14ac:dyDescent="0.3">
      <c r="E274" s="17"/>
    </row>
    <row r="275" spans="5:5" ht="15.75" thickBot="1" x14ac:dyDescent="0.3">
      <c r="E275" s="17"/>
    </row>
    <row r="276" spans="5:5" ht="15.75" thickBot="1" x14ac:dyDescent="0.3">
      <c r="E276" s="17"/>
    </row>
    <row r="277" spans="5:5" ht="15.75" thickBot="1" x14ac:dyDescent="0.3">
      <c r="E277" s="17"/>
    </row>
    <row r="278" spans="5:5" ht="15.75" thickBot="1" x14ac:dyDescent="0.3">
      <c r="E278" s="17"/>
    </row>
    <row r="279" spans="5:5" ht="15.75" thickBot="1" x14ac:dyDescent="0.3">
      <c r="E279" s="17"/>
    </row>
    <row r="280" spans="5:5" ht="15.75" thickBot="1" x14ac:dyDescent="0.3">
      <c r="E280" s="17"/>
    </row>
    <row r="281" spans="5:5" ht="15.75" thickBot="1" x14ac:dyDescent="0.3">
      <c r="E281" s="17"/>
    </row>
    <row r="282" spans="5:5" ht="15.75" thickBot="1" x14ac:dyDescent="0.3">
      <c r="E282" s="17"/>
    </row>
    <row r="283" spans="5:5" ht="15.75" thickBot="1" x14ac:dyDescent="0.3">
      <c r="E283" s="17"/>
    </row>
    <row r="284" spans="5:5" ht="15.75" thickBot="1" x14ac:dyDescent="0.3">
      <c r="E284" s="17"/>
    </row>
    <row r="285" spans="5:5" ht="15.75" thickBot="1" x14ac:dyDescent="0.3">
      <c r="E285" s="17"/>
    </row>
    <row r="286" spans="5:5" ht="15.75" thickBot="1" x14ac:dyDescent="0.3">
      <c r="E286" s="17"/>
    </row>
    <row r="287" spans="5:5" ht="15.75" thickBot="1" x14ac:dyDescent="0.3">
      <c r="E287" s="17"/>
    </row>
    <row r="288" spans="5:5" ht="15.75" thickBot="1" x14ac:dyDescent="0.3">
      <c r="E288" s="17"/>
    </row>
    <row r="289" spans="5:5" ht="15.75" thickBot="1" x14ac:dyDescent="0.3">
      <c r="E289" s="17"/>
    </row>
    <row r="290" spans="5:5" ht="15.75" thickBot="1" x14ac:dyDescent="0.3">
      <c r="E290" s="17"/>
    </row>
    <row r="291" spans="5:5" ht="15.75" thickBot="1" x14ac:dyDescent="0.3">
      <c r="E291" s="17"/>
    </row>
    <row r="292" spans="5:5" ht="15.75" thickBot="1" x14ac:dyDescent="0.3">
      <c r="E292" s="17"/>
    </row>
    <row r="293" spans="5:5" ht="15.75" thickBot="1" x14ac:dyDescent="0.3">
      <c r="E293" s="17"/>
    </row>
    <row r="294" spans="5:5" ht="15.75" thickBot="1" x14ac:dyDescent="0.3">
      <c r="E294" s="17"/>
    </row>
    <row r="295" spans="5:5" ht="15.75" thickBot="1" x14ac:dyDescent="0.3">
      <c r="E295" s="17"/>
    </row>
    <row r="296" spans="5:5" ht="15.75" thickBot="1" x14ac:dyDescent="0.3">
      <c r="E296" s="17"/>
    </row>
    <row r="297" spans="5:5" ht="15.75" thickBot="1" x14ac:dyDescent="0.3">
      <c r="E297" s="17"/>
    </row>
    <row r="298" spans="5:5" ht="15.75" thickBot="1" x14ac:dyDescent="0.3">
      <c r="E298" s="17"/>
    </row>
    <row r="299" spans="5:5" ht="15.75" thickBot="1" x14ac:dyDescent="0.3">
      <c r="E299" s="17"/>
    </row>
    <row r="300" spans="5:5" ht="15.75" thickBot="1" x14ac:dyDescent="0.3">
      <c r="E300" s="17"/>
    </row>
    <row r="301" spans="5:5" ht="15.75" thickBot="1" x14ac:dyDescent="0.3">
      <c r="E301" s="17"/>
    </row>
    <row r="302" spans="5:5" ht="15.75" thickBot="1" x14ac:dyDescent="0.3">
      <c r="E302" s="17"/>
    </row>
    <row r="303" spans="5:5" ht="15.75" thickBot="1" x14ac:dyDescent="0.3">
      <c r="E303" s="17"/>
    </row>
    <row r="304" spans="5:5" ht="15.75" thickBot="1" x14ac:dyDescent="0.3">
      <c r="E304" s="17"/>
    </row>
    <row r="305" spans="5:5" ht="15.75" thickBot="1" x14ac:dyDescent="0.3">
      <c r="E305" s="17"/>
    </row>
    <row r="306" spans="5:5" ht="15.75" thickBot="1" x14ac:dyDescent="0.3">
      <c r="E306" s="17"/>
    </row>
    <row r="307" spans="5:5" ht="15.75" thickBot="1" x14ac:dyDescent="0.3">
      <c r="E307" s="17"/>
    </row>
    <row r="308" spans="5:5" ht="15.75" thickBot="1" x14ac:dyDescent="0.3">
      <c r="E308" s="17"/>
    </row>
    <row r="309" spans="5:5" ht="15.75" thickBot="1" x14ac:dyDescent="0.3">
      <c r="E309" s="17"/>
    </row>
    <row r="310" spans="5:5" ht="15.75" thickBot="1" x14ac:dyDescent="0.3">
      <c r="E310" s="17"/>
    </row>
    <row r="311" spans="5:5" ht="15.75" thickBot="1" x14ac:dyDescent="0.3">
      <c r="E311" s="17"/>
    </row>
    <row r="312" spans="5:5" ht="15.75" thickBot="1" x14ac:dyDescent="0.3">
      <c r="E312" s="17"/>
    </row>
    <row r="313" spans="5:5" ht="15.75" thickBot="1" x14ac:dyDescent="0.3">
      <c r="E313" s="17"/>
    </row>
    <row r="314" spans="5:5" ht="15.75" thickBot="1" x14ac:dyDescent="0.3">
      <c r="E314" s="17"/>
    </row>
    <row r="315" spans="5:5" ht="15.75" thickBot="1" x14ac:dyDescent="0.3">
      <c r="E315" s="17"/>
    </row>
    <row r="316" spans="5:5" ht="15.75" thickBot="1" x14ac:dyDescent="0.3">
      <c r="E316" s="17"/>
    </row>
    <row r="317" spans="5:5" ht="15.75" thickBot="1" x14ac:dyDescent="0.3">
      <c r="E317" s="17"/>
    </row>
    <row r="318" spans="5:5" ht="15.75" thickBot="1" x14ac:dyDescent="0.3">
      <c r="E318" s="17"/>
    </row>
    <row r="319" spans="5:5" ht="15.75" thickBot="1" x14ac:dyDescent="0.3">
      <c r="E319" s="17"/>
    </row>
    <row r="320" spans="5:5" ht="15.75" thickBot="1" x14ac:dyDescent="0.3">
      <c r="E320" s="17"/>
    </row>
    <row r="321" spans="5:5" ht="15.75" thickBot="1" x14ac:dyDescent="0.3">
      <c r="E321" s="17"/>
    </row>
    <row r="322" spans="5:5" ht="15.75" thickBot="1" x14ac:dyDescent="0.3">
      <c r="E322" s="17"/>
    </row>
    <row r="323" spans="5:5" ht="15.75" thickBot="1" x14ac:dyDescent="0.3">
      <c r="E323" s="17"/>
    </row>
    <row r="324" spans="5:5" ht="15.75" thickBot="1" x14ac:dyDescent="0.3">
      <c r="E324" s="17"/>
    </row>
    <row r="325" spans="5:5" ht="15.75" thickBot="1" x14ac:dyDescent="0.3">
      <c r="E325" s="17"/>
    </row>
    <row r="326" spans="5:5" ht="15.75" thickBot="1" x14ac:dyDescent="0.3">
      <c r="E326" s="17"/>
    </row>
    <row r="327" spans="5:5" ht="15.75" thickBot="1" x14ac:dyDescent="0.3">
      <c r="E327" s="17"/>
    </row>
    <row r="328" spans="5:5" ht="15.75" thickBot="1" x14ac:dyDescent="0.3">
      <c r="E328" s="17"/>
    </row>
    <row r="329" spans="5:5" ht="15.75" thickBot="1" x14ac:dyDescent="0.3">
      <c r="E329" s="17"/>
    </row>
    <row r="330" spans="5:5" ht="15.75" thickBot="1" x14ac:dyDescent="0.3">
      <c r="E330" s="17"/>
    </row>
    <row r="331" spans="5:5" ht="15.75" thickBot="1" x14ac:dyDescent="0.3">
      <c r="E331" s="17"/>
    </row>
    <row r="332" spans="5:5" ht="15.75" thickBot="1" x14ac:dyDescent="0.3">
      <c r="E332" s="17"/>
    </row>
    <row r="333" spans="5:5" ht="15.75" thickBot="1" x14ac:dyDescent="0.3">
      <c r="E333" s="17"/>
    </row>
    <row r="334" spans="5:5" ht="15.75" thickBot="1" x14ac:dyDescent="0.3">
      <c r="E334" s="17"/>
    </row>
    <row r="335" spans="5:5" ht="15.75" thickBot="1" x14ac:dyDescent="0.3">
      <c r="E335" s="17"/>
    </row>
    <row r="336" spans="5:5" ht="15.75" thickBot="1" x14ac:dyDescent="0.3">
      <c r="E336" s="17"/>
    </row>
    <row r="337" spans="5:5" ht="15.75" thickBot="1" x14ac:dyDescent="0.3">
      <c r="E337" s="17"/>
    </row>
    <row r="338" spans="5:5" ht="15.75" thickBot="1" x14ac:dyDescent="0.3">
      <c r="E338" s="17"/>
    </row>
    <row r="339" spans="5:5" ht="15.75" thickBot="1" x14ac:dyDescent="0.3">
      <c r="E339" s="17"/>
    </row>
    <row r="340" spans="5:5" ht="15.75" thickBot="1" x14ac:dyDescent="0.3">
      <c r="E340" s="17"/>
    </row>
    <row r="341" spans="5:5" ht="15.75" thickBot="1" x14ac:dyDescent="0.3">
      <c r="E341" s="17"/>
    </row>
    <row r="342" spans="5:5" ht="15.75" thickBot="1" x14ac:dyDescent="0.3">
      <c r="E342" s="17"/>
    </row>
    <row r="343" spans="5:5" ht="15.75" thickBot="1" x14ac:dyDescent="0.3">
      <c r="E343" s="17"/>
    </row>
    <row r="344" spans="5:5" ht="15.75" thickBot="1" x14ac:dyDescent="0.3">
      <c r="E344" s="17"/>
    </row>
    <row r="345" spans="5:5" ht="15.75" thickBot="1" x14ac:dyDescent="0.3">
      <c r="E345" s="17"/>
    </row>
    <row r="346" spans="5:5" ht="15.75" thickBot="1" x14ac:dyDescent="0.3">
      <c r="E346" s="17"/>
    </row>
    <row r="347" spans="5:5" ht="15.75" thickBot="1" x14ac:dyDescent="0.3">
      <c r="E347" s="17"/>
    </row>
    <row r="348" spans="5:5" ht="15.75" thickBot="1" x14ac:dyDescent="0.3">
      <c r="E348" s="17"/>
    </row>
    <row r="349" spans="5:5" ht="15.75" thickBot="1" x14ac:dyDescent="0.3">
      <c r="E349" s="17"/>
    </row>
    <row r="350" spans="5:5" ht="15.75" thickBot="1" x14ac:dyDescent="0.3">
      <c r="E350" s="17"/>
    </row>
    <row r="351" spans="5:5" ht="15.75" thickBot="1" x14ac:dyDescent="0.3">
      <c r="E351" s="17"/>
    </row>
    <row r="352" spans="5:5" ht="15.75" thickBot="1" x14ac:dyDescent="0.3">
      <c r="E352" s="17"/>
    </row>
    <row r="353" spans="5:5" ht="15.75" thickBot="1" x14ac:dyDescent="0.3">
      <c r="E353" s="17"/>
    </row>
    <row r="354" spans="5:5" ht="15.75" thickBot="1" x14ac:dyDescent="0.3">
      <c r="E354" s="17"/>
    </row>
    <row r="355" spans="5:5" ht="15.75" thickBot="1" x14ac:dyDescent="0.3">
      <c r="E355" s="17"/>
    </row>
    <row r="356" spans="5:5" ht="15.75" thickBot="1" x14ac:dyDescent="0.3">
      <c r="E356" s="17"/>
    </row>
    <row r="357" spans="5:5" ht="15.75" thickBot="1" x14ac:dyDescent="0.3">
      <c r="E357" s="17"/>
    </row>
    <row r="358" spans="5:5" ht="15.75" thickBot="1" x14ac:dyDescent="0.3">
      <c r="E358" s="17"/>
    </row>
    <row r="359" spans="5:5" ht="15.75" thickBot="1" x14ac:dyDescent="0.3">
      <c r="E359" s="17"/>
    </row>
    <row r="360" spans="5:5" ht="15.75" thickBot="1" x14ac:dyDescent="0.3">
      <c r="E360" s="17"/>
    </row>
    <row r="361" spans="5:5" ht="15.75" thickBot="1" x14ac:dyDescent="0.3">
      <c r="E361" s="17"/>
    </row>
    <row r="362" spans="5:5" ht="15.75" thickBot="1" x14ac:dyDescent="0.3">
      <c r="E362" s="17"/>
    </row>
    <row r="363" spans="5:5" ht="15.75" thickBot="1" x14ac:dyDescent="0.3">
      <c r="E363" s="17"/>
    </row>
    <row r="364" spans="5:5" ht="15.75" thickBot="1" x14ac:dyDescent="0.3">
      <c r="E364" s="17"/>
    </row>
    <row r="365" spans="5:5" ht="15.75" thickBot="1" x14ac:dyDescent="0.3">
      <c r="E365" s="17"/>
    </row>
    <row r="366" spans="5:5" ht="15.75" thickBot="1" x14ac:dyDescent="0.3">
      <c r="E366" s="17"/>
    </row>
    <row r="367" spans="5:5" ht="15.75" thickBot="1" x14ac:dyDescent="0.3">
      <c r="E367" s="17"/>
    </row>
    <row r="368" spans="5:5" ht="15.75" thickBot="1" x14ac:dyDescent="0.3">
      <c r="E368" s="17"/>
    </row>
    <row r="369" spans="5:5" ht="15.75" thickBot="1" x14ac:dyDescent="0.3">
      <c r="E369" s="17"/>
    </row>
    <row r="370" spans="5:5" ht="15.75" thickBot="1" x14ac:dyDescent="0.3">
      <c r="E370" s="17"/>
    </row>
    <row r="371" spans="5:5" ht="15.75" thickBot="1" x14ac:dyDescent="0.3">
      <c r="E371" s="17"/>
    </row>
    <row r="372" spans="5:5" ht="15.75" thickBot="1" x14ac:dyDescent="0.3">
      <c r="E372" s="17"/>
    </row>
    <row r="373" spans="5:5" ht="15.75" thickBot="1" x14ac:dyDescent="0.3">
      <c r="E373" s="17"/>
    </row>
    <row r="374" spans="5:5" ht="15.75" thickBot="1" x14ac:dyDescent="0.3">
      <c r="E374" s="17"/>
    </row>
    <row r="375" spans="5:5" ht="15.75" thickBot="1" x14ac:dyDescent="0.3">
      <c r="E375" s="17"/>
    </row>
    <row r="376" spans="5:5" ht="15.75" thickBot="1" x14ac:dyDescent="0.3">
      <c r="E376" s="17"/>
    </row>
    <row r="377" spans="5:5" ht="15.75" thickBot="1" x14ac:dyDescent="0.3">
      <c r="E377" s="17"/>
    </row>
    <row r="378" spans="5:5" ht="15.75" thickBot="1" x14ac:dyDescent="0.3">
      <c r="E378" s="17"/>
    </row>
    <row r="379" spans="5:5" ht="15.75" thickBot="1" x14ac:dyDescent="0.3">
      <c r="E379" s="17"/>
    </row>
    <row r="380" spans="5:5" ht="15.75" thickBot="1" x14ac:dyDescent="0.3">
      <c r="E380" s="17"/>
    </row>
    <row r="381" spans="5:5" ht="15.75" thickBot="1" x14ac:dyDescent="0.3">
      <c r="E381" s="17"/>
    </row>
    <row r="382" spans="5:5" ht="15.75" thickBot="1" x14ac:dyDescent="0.3">
      <c r="E382" s="17"/>
    </row>
    <row r="383" spans="5:5" ht="15.75" thickBot="1" x14ac:dyDescent="0.3">
      <c r="E383" s="17"/>
    </row>
    <row r="384" spans="5:5" ht="15.75" thickBot="1" x14ac:dyDescent="0.3">
      <c r="E384" s="17"/>
    </row>
    <row r="385" spans="5:5" ht="15.75" thickBot="1" x14ac:dyDescent="0.3">
      <c r="E385" s="17"/>
    </row>
    <row r="386" spans="5:5" ht="15.75" thickBot="1" x14ac:dyDescent="0.3">
      <c r="E386" s="17"/>
    </row>
    <row r="387" spans="5:5" ht="15.75" thickBot="1" x14ac:dyDescent="0.3">
      <c r="E387" s="17"/>
    </row>
    <row r="388" spans="5:5" ht="15.75" thickBot="1" x14ac:dyDescent="0.3">
      <c r="E388" s="17"/>
    </row>
    <row r="389" spans="5:5" ht="15.75" thickBot="1" x14ac:dyDescent="0.3">
      <c r="E389" s="17"/>
    </row>
    <row r="390" spans="5:5" ht="15.75" thickBot="1" x14ac:dyDescent="0.3">
      <c r="E390" s="17"/>
    </row>
    <row r="391" spans="5:5" ht="15.75" thickBot="1" x14ac:dyDescent="0.3">
      <c r="E391" s="17"/>
    </row>
    <row r="392" spans="5:5" ht="15.75" thickBot="1" x14ac:dyDescent="0.3">
      <c r="E392" s="17"/>
    </row>
    <row r="393" spans="5:5" ht="15.75" thickBot="1" x14ac:dyDescent="0.3">
      <c r="E393" s="17"/>
    </row>
    <row r="394" spans="5:5" ht="15.75" thickBot="1" x14ac:dyDescent="0.3">
      <c r="E394" s="17"/>
    </row>
    <row r="395" spans="5:5" ht="15.75" thickBot="1" x14ac:dyDescent="0.3">
      <c r="E395" s="17"/>
    </row>
    <row r="396" spans="5:5" ht="15.75" thickBot="1" x14ac:dyDescent="0.3">
      <c r="E396" s="17"/>
    </row>
    <row r="397" spans="5:5" ht="15.75" thickBot="1" x14ac:dyDescent="0.3">
      <c r="E397" s="17"/>
    </row>
    <row r="398" spans="5:5" ht="15.75" thickBot="1" x14ac:dyDescent="0.3">
      <c r="E398" s="17"/>
    </row>
    <row r="399" spans="5:5" ht="15.75" thickBot="1" x14ac:dyDescent="0.3">
      <c r="E399" s="17"/>
    </row>
    <row r="400" spans="5:5" ht="15.75" thickBot="1" x14ac:dyDescent="0.3">
      <c r="E400" s="17"/>
    </row>
    <row r="401" spans="5:5" ht="15.75" thickBot="1" x14ac:dyDescent="0.3">
      <c r="E401" s="17"/>
    </row>
    <row r="402" spans="5:5" ht="15.75" thickBot="1" x14ac:dyDescent="0.3">
      <c r="E402" s="17"/>
    </row>
    <row r="403" spans="5:5" ht="15.75" thickBot="1" x14ac:dyDescent="0.3">
      <c r="E403" s="17"/>
    </row>
    <row r="404" spans="5:5" ht="15.75" thickBot="1" x14ac:dyDescent="0.3">
      <c r="E404" s="17"/>
    </row>
    <row r="405" spans="5:5" ht="15.75" thickBot="1" x14ac:dyDescent="0.3">
      <c r="E405" s="17"/>
    </row>
    <row r="406" spans="5:5" ht="15.75" thickBot="1" x14ac:dyDescent="0.3">
      <c r="E406" s="17"/>
    </row>
    <row r="407" spans="5:5" ht="15.75" thickBot="1" x14ac:dyDescent="0.3">
      <c r="E407" s="17"/>
    </row>
    <row r="408" spans="5:5" ht="15.75" thickBot="1" x14ac:dyDescent="0.3">
      <c r="E408" s="17"/>
    </row>
    <row r="409" spans="5:5" ht="15.75" thickBot="1" x14ac:dyDescent="0.3">
      <c r="E409" s="17"/>
    </row>
    <row r="410" spans="5:5" ht="15.75" thickBot="1" x14ac:dyDescent="0.3">
      <c r="E410" s="17"/>
    </row>
    <row r="411" spans="5:5" ht="15.75" thickBot="1" x14ac:dyDescent="0.3">
      <c r="E411" s="17"/>
    </row>
    <row r="412" spans="5:5" ht="15.75" thickBot="1" x14ac:dyDescent="0.3">
      <c r="E412" s="17"/>
    </row>
    <row r="413" spans="5:5" ht="15.75" thickBot="1" x14ac:dyDescent="0.3">
      <c r="E413" s="17"/>
    </row>
    <row r="414" spans="5:5" ht="15.75" thickBot="1" x14ac:dyDescent="0.3">
      <c r="E414" s="17"/>
    </row>
    <row r="415" spans="5:5" ht="15.75" thickBot="1" x14ac:dyDescent="0.3">
      <c r="E415" s="17"/>
    </row>
    <row r="416" spans="5:5" ht="15.75" thickBot="1" x14ac:dyDescent="0.3">
      <c r="E416" s="17"/>
    </row>
    <row r="417" spans="5:5" ht="15.75" thickBot="1" x14ac:dyDescent="0.3">
      <c r="E417" s="17"/>
    </row>
    <row r="418" spans="5:5" ht="15.75" thickBot="1" x14ac:dyDescent="0.3">
      <c r="E418" s="17"/>
    </row>
    <row r="419" spans="5:5" ht="15.75" thickBot="1" x14ac:dyDescent="0.3">
      <c r="E419" s="17"/>
    </row>
    <row r="420" spans="5:5" ht="15.75" thickBot="1" x14ac:dyDescent="0.3">
      <c r="E420" s="17"/>
    </row>
    <row r="421" spans="5:5" ht="15.75" thickBot="1" x14ac:dyDescent="0.3">
      <c r="E421" s="17"/>
    </row>
    <row r="422" spans="5:5" ht="15.75" thickBot="1" x14ac:dyDescent="0.3">
      <c r="E422" s="17"/>
    </row>
    <row r="423" spans="5:5" ht="15.75" thickBot="1" x14ac:dyDescent="0.3">
      <c r="E423" s="17"/>
    </row>
    <row r="424" spans="5:5" ht="15.75" thickBot="1" x14ac:dyDescent="0.3">
      <c r="E424" s="17"/>
    </row>
    <row r="425" spans="5:5" ht="15.75" thickBot="1" x14ac:dyDescent="0.3">
      <c r="E425" s="17"/>
    </row>
    <row r="426" spans="5:5" ht="15.75" thickBot="1" x14ac:dyDescent="0.3">
      <c r="E426" s="17"/>
    </row>
    <row r="427" spans="5:5" ht="15.75" thickBot="1" x14ac:dyDescent="0.3">
      <c r="E427" s="17"/>
    </row>
    <row r="428" spans="5:5" ht="15.75" thickBot="1" x14ac:dyDescent="0.3">
      <c r="E428" s="17"/>
    </row>
    <row r="429" spans="5:5" ht="15.75" thickBot="1" x14ac:dyDescent="0.3">
      <c r="E429" s="17"/>
    </row>
    <row r="430" spans="5:5" ht="15.75" thickBot="1" x14ac:dyDescent="0.3">
      <c r="E430" s="17"/>
    </row>
    <row r="431" spans="5:5" ht="15.75" thickBot="1" x14ac:dyDescent="0.3">
      <c r="E431" s="17"/>
    </row>
    <row r="432" spans="5:5" ht="15.75" thickBot="1" x14ac:dyDescent="0.3">
      <c r="E432" s="17"/>
    </row>
    <row r="433" spans="5:5" ht="15.75" thickBot="1" x14ac:dyDescent="0.3">
      <c r="E433" s="17"/>
    </row>
    <row r="434" spans="5:5" ht="15.75" thickBot="1" x14ac:dyDescent="0.3">
      <c r="E434" s="17"/>
    </row>
    <row r="435" spans="5:5" ht="15.75" thickBot="1" x14ac:dyDescent="0.3">
      <c r="E435" s="17"/>
    </row>
    <row r="436" spans="5:5" ht="15.75" thickBot="1" x14ac:dyDescent="0.3">
      <c r="E436" s="17"/>
    </row>
    <row r="437" spans="5:5" ht="15.75" thickBot="1" x14ac:dyDescent="0.3">
      <c r="E437" s="17"/>
    </row>
    <row r="438" spans="5:5" ht="15.75" thickBot="1" x14ac:dyDescent="0.3">
      <c r="E438" s="17"/>
    </row>
    <row r="439" spans="5:5" ht="15.75" thickBot="1" x14ac:dyDescent="0.3">
      <c r="E439" s="17"/>
    </row>
    <row r="440" spans="5:5" ht="15.75" thickBot="1" x14ac:dyDescent="0.3">
      <c r="E440" s="17"/>
    </row>
    <row r="441" spans="5:5" ht="15.75" thickBot="1" x14ac:dyDescent="0.3">
      <c r="E441" s="17"/>
    </row>
    <row r="442" spans="5:5" ht="15.75" thickBot="1" x14ac:dyDescent="0.3">
      <c r="E442" s="17"/>
    </row>
    <row r="443" spans="5:5" ht="15.75" thickBot="1" x14ac:dyDescent="0.3">
      <c r="E443" s="17"/>
    </row>
    <row r="444" spans="5:5" ht="15.75" thickBot="1" x14ac:dyDescent="0.3">
      <c r="E444" s="17"/>
    </row>
    <row r="445" spans="5:5" ht="15.75" thickBot="1" x14ac:dyDescent="0.3">
      <c r="E445" s="17"/>
    </row>
    <row r="446" spans="5:5" ht="15.75" thickBot="1" x14ac:dyDescent="0.3">
      <c r="E446" s="17"/>
    </row>
    <row r="447" spans="5:5" ht="15.75" thickBot="1" x14ac:dyDescent="0.3">
      <c r="E447" s="17"/>
    </row>
    <row r="448" spans="5:5" ht="15.75" thickBot="1" x14ac:dyDescent="0.3">
      <c r="E448" s="17"/>
    </row>
    <row r="449" spans="5:5" ht="15.75" thickBot="1" x14ac:dyDescent="0.3">
      <c r="E449" s="17"/>
    </row>
    <row r="450" spans="5:5" ht="15.75" thickBot="1" x14ac:dyDescent="0.3">
      <c r="E450" s="17"/>
    </row>
    <row r="451" spans="5:5" ht="15.75" thickBot="1" x14ac:dyDescent="0.3">
      <c r="E451" s="17"/>
    </row>
    <row r="452" spans="5:5" ht="15.75" thickBot="1" x14ac:dyDescent="0.3">
      <c r="E452" s="17"/>
    </row>
    <row r="453" spans="5:5" ht="15.75" thickBot="1" x14ac:dyDescent="0.3">
      <c r="E453" s="17"/>
    </row>
    <row r="454" spans="5:5" ht="15.75" thickBot="1" x14ac:dyDescent="0.3">
      <c r="E454" s="17"/>
    </row>
    <row r="455" spans="5:5" ht="15.75" thickBot="1" x14ac:dyDescent="0.3">
      <c r="E455" s="17"/>
    </row>
    <row r="456" spans="5:5" ht="15.75" thickBot="1" x14ac:dyDescent="0.3">
      <c r="E456" s="17"/>
    </row>
    <row r="457" spans="5:5" ht="15.75" thickBot="1" x14ac:dyDescent="0.3">
      <c r="E457" s="17"/>
    </row>
    <row r="458" spans="5:5" ht="15.75" thickBot="1" x14ac:dyDescent="0.3">
      <c r="E458" s="17"/>
    </row>
    <row r="459" spans="5:5" ht="15.75" thickBot="1" x14ac:dyDescent="0.3">
      <c r="E459" s="17"/>
    </row>
    <row r="460" spans="5:5" ht="15.75" thickBot="1" x14ac:dyDescent="0.3">
      <c r="E460" s="17"/>
    </row>
    <row r="461" spans="5:5" ht="15.75" thickBot="1" x14ac:dyDescent="0.3">
      <c r="E461" s="17"/>
    </row>
    <row r="462" spans="5:5" ht="15.75" thickBot="1" x14ac:dyDescent="0.3">
      <c r="E462" s="17"/>
    </row>
    <row r="463" spans="5:5" ht="15.75" thickBot="1" x14ac:dyDescent="0.3">
      <c r="E463" s="17"/>
    </row>
    <row r="464" spans="5:5" ht="15.75" thickBot="1" x14ac:dyDescent="0.3">
      <c r="E464" s="17"/>
    </row>
    <row r="465" spans="5:5" ht="15.75" thickBot="1" x14ac:dyDescent="0.3">
      <c r="E465" s="17"/>
    </row>
    <row r="466" spans="5:5" ht="15.75" thickBot="1" x14ac:dyDescent="0.3">
      <c r="E466" s="17"/>
    </row>
    <row r="467" spans="5:5" ht="15.75" thickBot="1" x14ac:dyDescent="0.3">
      <c r="E467" s="17"/>
    </row>
    <row r="468" spans="5:5" ht="15.75" thickBot="1" x14ac:dyDescent="0.3">
      <c r="E468" s="17"/>
    </row>
    <row r="469" spans="5:5" ht="15.75" thickBot="1" x14ac:dyDescent="0.3">
      <c r="E469" s="17"/>
    </row>
    <row r="470" spans="5:5" ht="15.75" thickBot="1" x14ac:dyDescent="0.3">
      <c r="E470" s="17"/>
    </row>
    <row r="471" spans="5:5" ht="15.75" thickBot="1" x14ac:dyDescent="0.3">
      <c r="E471" s="17"/>
    </row>
    <row r="472" spans="5:5" ht="15.75" thickBot="1" x14ac:dyDescent="0.3">
      <c r="E472" s="17"/>
    </row>
    <row r="473" spans="5:5" ht="15.75" thickBot="1" x14ac:dyDescent="0.3">
      <c r="E473" s="17"/>
    </row>
    <row r="474" spans="5:5" ht="15.75" thickBot="1" x14ac:dyDescent="0.3">
      <c r="E474" s="17"/>
    </row>
    <row r="475" spans="5:5" ht="15.75" thickBot="1" x14ac:dyDescent="0.3">
      <c r="E475" s="17"/>
    </row>
    <row r="476" spans="5:5" ht="15.75" thickBot="1" x14ac:dyDescent="0.3">
      <c r="E476" s="17"/>
    </row>
    <row r="477" spans="5:5" ht="15.75" thickBot="1" x14ac:dyDescent="0.3">
      <c r="E477" s="17"/>
    </row>
    <row r="478" spans="5:5" ht="15.75" thickBot="1" x14ac:dyDescent="0.3">
      <c r="E478" s="17"/>
    </row>
    <row r="479" spans="5:5" ht="15.75" thickBot="1" x14ac:dyDescent="0.3">
      <c r="E479" s="17"/>
    </row>
    <row r="480" spans="5:5" ht="15.75" thickBot="1" x14ac:dyDescent="0.3">
      <c r="E480" s="17"/>
    </row>
    <row r="481" spans="5:5" ht="15.75" thickBot="1" x14ac:dyDescent="0.3">
      <c r="E481" s="17"/>
    </row>
    <row r="482" spans="5:5" ht="15.75" thickBot="1" x14ac:dyDescent="0.3">
      <c r="E482" s="17"/>
    </row>
    <row r="483" spans="5:5" ht="15.75" thickBot="1" x14ac:dyDescent="0.3">
      <c r="E483" s="17"/>
    </row>
    <row r="484" spans="5:5" ht="15.75" thickBot="1" x14ac:dyDescent="0.3">
      <c r="E484" s="17"/>
    </row>
    <row r="485" spans="5:5" ht="15.75" thickBot="1" x14ac:dyDescent="0.3">
      <c r="E485" s="17"/>
    </row>
    <row r="486" spans="5:5" ht="15.75" thickBot="1" x14ac:dyDescent="0.3">
      <c r="E486" s="17"/>
    </row>
    <row r="487" spans="5:5" ht="15.75" thickBot="1" x14ac:dyDescent="0.3">
      <c r="E487" s="17"/>
    </row>
    <row r="488" spans="5:5" ht="15.75" thickBot="1" x14ac:dyDescent="0.3">
      <c r="E488" s="17"/>
    </row>
    <row r="489" spans="5:5" ht="15.75" thickBot="1" x14ac:dyDescent="0.3">
      <c r="E489" s="17"/>
    </row>
    <row r="490" spans="5:5" ht="15.75" thickBot="1" x14ac:dyDescent="0.3">
      <c r="E490" s="17"/>
    </row>
    <row r="491" spans="5:5" ht="15.75" thickBot="1" x14ac:dyDescent="0.3">
      <c r="E491" s="17"/>
    </row>
    <row r="492" spans="5:5" ht="15.75" thickBot="1" x14ac:dyDescent="0.3">
      <c r="E492" s="17"/>
    </row>
    <row r="493" spans="5:5" ht="15.75" thickBot="1" x14ac:dyDescent="0.3">
      <c r="E493" s="17"/>
    </row>
    <row r="494" spans="5:5" ht="15.75" thickBot="1" x14ac:dyDescent="0.3">
      <c r="E494" s="17"/>
    </row>
    <row r="495" spans="5:5" ht="15.75" thickBot="1" x14ac:dyDescent="0.3">
      <c r="E495" s="17"/>
    </row>
    <row r="496" spans="5:5" ht="15.75" thickBot="1" x14ac:dyDescent="0.3">
      <c r="E496" s="17"/>
    </row>
    <row r="497" spans="5:5" ht="15.75" thickBot="1" x14ac:dyDescent="0.3">
      <c r="E497" s="17"/>
    </row>
    <row r="498" spans="5:5" ht="15.75" thickBot="1" x14ac:dyDescent="0.3">
      <c r="E498" s="17"/>
    </row>
    <row r="499" spans="5:5" ht="15.75" thickBot="1" x14ac:dyDescent="0.3">
      <c r="E499" s="17"/>
    </row>
    <row r="500" spans="5:5" ht="15.75" thickBot="1" x14ac:dyDescent="0.3">
      <c r="E500" s="17"/>
    </row>
    <row r="501" spans="5:5" ht="15.75" thickBot="1" x14ac:dyDescent="0.3">
      <c r="E501" s="17"/>
    </row>
    <row r="502" spans="5:5" ht="15.75" thickBot="1" x14ac:dyDescent="0.3">
      <c r="E502" s="17"/>
    </row>
    <row r="503" spans="5:5" ht="15.75" thickBot="1" x14ac:dyDescent="0.3">
      <c r="E503" s="17"/>
    </row>
    <row r="504" spans="5:5" ht="15.75" thickBot="1" x14ac:dyDescent="0.3">
      <c r="E504" s="17"/>
    </row>
    <row r="505" spans="5:5" ht="15.75" thickBot="1" x14ac:dyDescent="0.3">
      <c r="E505" s="17"/>
    </row>
    <row r="506" spans="5:5" ht="15.75" thickBot="1" x14ac:dyDescent="0.3">
      <c r="E506" s="17"/>
    </row>
    <row r="507" spans="5:5" ht="15.75" thickBot="1" x14ac:dyDescent="0.3">
      <c r="E507" s="17"/>
    </row>
    <row r="508" spans="5:5" ht="15.75" thickBot="1" x14ac:dyDescent="0.3">
      <c r="E508" s="17"/>
    </row>
    <row r="509" spans="5:5" ht="15.75" thickBot="1" x14ac:dyDescent="0.3">
      <c r="E509" s="17"/>
    </row>
    <row r="510" spans="5:5" ht="15.75" thickBot="1" x14ac:dyDescent="0.3">
      <c r="E510" s="17"/>
    </row>
    <row r="511" spans="5:5" ht="15.75" thickBot="1" x14ac:dyDescent="0.3">
      <c r="E511" s="17"/>
    </row>
    <row r="512" spans="5:5" ht="15.75" thickBot="1" x14ac:dyDescent="0.3">
      <c r="E512" s="17"/>
    </row>
    <row r="513" spans="5:5" ht="15.75" thickBot="1" x14ac:dyDescent="0.3">
      <c r="E513" s="17"/>
    </row>
    <row r="514" spans="5:5" ht="15.75" thickBot="1" x14ac:dyDescent="0.3">
      <c r="E514" s="17"/>
    </row>
    <row r="515" spans="5:5" ht="15.75" thickBot="1" x14ac:dyDescent="0.3">
      <c r="E515" s="17"/>
    </row>
    <row r="516" spans="5:5" ht="15.75" thickBot="1" x14ac:dyDescent="0.3">
      <c r="E516" s="17"/>
    </row>
    <row r="517" spans="5:5" ht="15.75" thickBot="1" x14ac:dyDescent="0.3">
      <c r="E517" s="17"/>
    </row>
    <row r="518" spans="5:5" ht="15.75" thickBot="1" x14ac:dyDescent="0.3">
      <c r="E518" s="17"/>
    </row>
    <row r="519" spans="5:5" ht="15.75" thickBot="1" x14ac:dyDescent="0.3">
      <c r="E519" s="17"/>
    </row>
    <row r="520" spans="5:5" ht="15.75" thickBot="1" x14ac:dyDescent="0.3">
      <c r="E520" s="17"/>
    </row>
    <row r="521" spans="5:5" ht="15.75" thickBot="1" x14ac:dyDescent="0.3">
      <c r="E521" s="17"/>
    </row>
    <row r="522" spans="5:5" ht="15.75" thickBot="1" x14ac:dyDescent="0.3">
      <c r="E522" s="17"/>
    </row>
    <row r="523" spans="5:5" ht="15.75" thickBot="1" x14ac:dyDescent="0.3">
      <c r="E523" s="17"/>
    </row>
    <row r="524" spans="5:5" ht="15.75" thickBot="1" x14ac:dyDescent="0.3">
      <c r="E524" s="17"/>
    </row>
    <row r="525" spans="5:5" ht="15.75" thickBot="1" x14ac:dyDescent="0.3">
      <c r="E525" s="17"/>
    </row>
    <row r="526" spans="5:5" ht="15.75" thickBot="1" x14ac:dyDescent="0.3">
      <c r="E526" s="17"/>
    </row>
    <row r="527" spans="5:5" ht="15.75" thickBot="1" x14ac:dyDescent="0.3">
      <c r="E527" s="17"/>
    </row>
    <row r="528" spans="5:5" ht="15.75" thickBot="1" x14ac:dyDescent="0.3">
      <c r="E528" s="17"/>
    </row>
    <row r="529" spans="5:5" ht="15.75" thickBot="1" x14ac:dyDescent="0.3">
      <c r="E529" s="17"/>
    </row>
    <row r="530" spans="5:5" ht="15.75" thickBot="1" x14ac:dyDescent="0.3">
      <c r="E530" s="17"/>
    </row>
    <row r="531" spans="5:5" ht="15.75" thickBot="1" x14ac:dyDescent="0.3">
      <c r="E531" s="17"/>
    </row>
    <row r="532" spans="5:5" ht="15.75" thickBot="1" x14ac:dyDescent="0.3">
      <c r="E532" s="17"/>
    </row>
    <row r="533" spans="5:5" ht="15.75" thickBot="1" x14ac:dyDescent="0.3">
      <c r="E533" s="17"/>
    </row>
    <row r="534" spans="5:5" ht="15.75" thickBot="1" x14ac:dyDescent="0.3">
      <c r="E534" s="17"/>
    </row>
    <row r="535" spans="5:5" ht="15.75" thickBot="1" x14ac:dyDescent="0.3">
      <c r="E535" s="17"/>
    </row>
    <row r="536" spans="5:5" ht="15.75" thickBot="1" x14ac:dyDescent="0.3">
      <c r="E536" s="17"/>
    </row>
    <row r="537" spans="5:5" ht="15.75" thickBot="1" x14ac:dyDescent="0.3">
      <c r="E537" s="17"/>
    </row>
    <row r="538" spans="5:5" ht="15.75" thickBot="1" x14ac:dyDescent="0.3">
      <c r="E538" s="17"/>
    </row>
    <row r="539" spans="5:5" ht="15.75" thickBot="1" x14ac:dyDescent="0.3">
      <c r="E539" s="17"/>
    </row>
    <row r="540" spans="5:5" ht="15.75" thickBot="1" x14ac:dyDescent="0.3">
      <c r="E540" s="17"/>
    </row>
    <row r="541" spans="5:5" ht="15.75" thickBot="1" x14ac:dyDescent="0.3">
      <c r="E541" s="17"/>
    </row>
    <row r="542" spans="5:5" ht="15.75" thickBot="1" x14ac:dyDescent="0.3">
      <c r="E542" s="17"/>
    </row>
    <row r="543" spans="5:5" ht="15.75" thickBot="1" x14ac:dyDescent="0.3">
      <c r="E543" s="17"/>
    </row>
    <row r="544" spans="5:5" ht="15.75" thickBot="1" x14ac:dyDescent="0.3">
      <c r="E544" s="17"/>
    </row>
    <row r="545" spans="5:5" ht="15.75" thickBot="1" x14ac:dyDescent="0.3">
      <c r="E545" s="17"/>
    </row>
    <row r="546" spans="5:5" ht="15.75" thickBot="1" x14ac:dyDescent="0.3">
      <c r="E546" s="17"/>
    </row>
    <row r="547" spans="5:5" ht="15.75" thickBot="1" x14ac:dyDescent="0.3">
      <c r="E547" s="17"/>
    </row>
    <row r="548" spans="5:5" ht="15.75" thickBot="1" x14ac:dyDescent="0.3">
      <c r="E548" s="17"/>
    </row>
    <row r="549" spans="5:5" ht="15.75" thickBot="1" x14ac:dyDescent="0.3">
      <c r="E549" s="17"/>
    </row>
    <row r="550" spans="5:5" ht="15.75" thickBot="1" x14ac:dyDescent="0.3">
      <c r="E550" s="17"/>
    </row>
    <row r="551" spans="5:5" ht="15.75" thickBot="1" x14ac:dyDescent="0.3">
      <c r="E551" s="17"/>
    </row>
    <row r="552" spans="5:5" ht="15.75" thickBot="1" x14ac:dyDescent="0.3">
      <c r="E552" s="17"/>
    </row>
    <row r="553" spans="5:5" ht="15.75" thickBot="1" x14ac:dyDescent="0.3">
      <c r="E553" s="17"/>
    </row>
    <row r="554" spans="5:5" ht="15.75" thickBot="1" x14ac:dyDescent="0.3">
      <c r="E554" s="17"/>
    </row>
    <row r="555" spans="5:5" ht="15.75" thickBot="1" x14ac:dyDescent="0.3">
      <c r="E555" s="17"/>
    </row>
    <row r="556" spans="5:5" ht="15.75" thickBot="1" x14ac:dyDescent="0.3">
      <c r="E556" s="17"/>
    </row>
    <row r="557" spans="5:5" ht="15.75" thickBot="1" x14ac:dyDescent="0.3">
      <c r="E557" s="17"/>
    </row>
    <row r="558" spans="5:5" ht="15.75" thickBot="1" x14ac:dyDescent="0.3">
      <c r="E558" s="17"/>
    </row>
    <row r="559" spans="5:5" ht="15.75" thickBot="1" x14ac:dyDescent="0.3">
      <c r="E559" s="17"/>
    </row>
    <row r="560" spans="5:5" ht="15.75" thickBot="1" x14ac:dyDescent="0.3">
      <c r="E560" s="17"/>
    </row>
    <row r="561" spans="5:5" ht="15.75" thickBot="1" x14ac:dyDescent="0.3">
      <c r="E561" s="17"/>
    </row>
    <row r="562" spans="5:5" ht="15.75" thickBot="1" x14ac:dyDescent="0.3">
      <c r="E562" s="17"/>
    </row>
    <row r="563" spans="5:5" ht="15.75" thickBot="1" x14ac:dyDescent="0.3">
      <c r="E563" s="17"/>
    </row>
    <row r="564" spans="5:5" ht="15.75" thickBot="1" x14ac:dyDescent="0.3">
      <c r="E564" s="17"/>
    </row>
    <row r="565" spans="5:5" ht="15.75" thickBot="1" x14ac:dyDescent="0.3">
      <c r="E565" s="17"/>
    </row>
    <row r="566" spans="5:5" ht="15.75" thickBot="1" x14ac:dyDescent="0.3">
      <c r="E566" s="17"/>
    </row>
    <row r="567" spans="5:5" ht="15.75" thickBot="1" x14ac:dyDescent="0.3">
      <c r="E567" s="17"/>
    </row>
    <row r="568" spans="5:5" ht="15.75" thickBot="1" x14ac:dyDescent="0.3">
      <c r="E568" s="17"/>
    </row>
    <row r="569" spans="5:5" ht="15.75" thickBot="1" x14ac:dyDescent="0.3">
      <c r="E569" s="17"/>
    </row>
    <row r="570" spans="5:5" ht="15.75" thickBot="1" x14ac:dyDescent="0.3">
      <c r="E570" s="17"/>
    </row>
    <row r="571" spans="5:5" ht="15.75" thickBot="1" x14ac:dyDescent="0.3">
      <c r="E571" s="17"/>
    </row>
    <row r="572" spans="5:5" ht="15.75" thickBot="1" x14ac:dyDescent="0.3">
      <c r="E572" s="17"/>
    </row>
    <row r="573" spans="5:5" ht="15.75" thickBot="1" x14ac:dyDescent="0.3">
      <c r="E573" s="17"/>
    </row>
    <row r="574" spans="5:5" ht="15.75" thickBot="1" x14ac:dyDescent="0.3">
      <c r="E574" s="17"/>
    </row>
    <row r="575" spans="5:5" ht="15.75" thickBot="1" x14ac:dyDescent="0.3">
      <c r="E575" s="17"/>
    </row>
    <row r="576" spans="5:5" ht="15.75" thickBot="1" x14ac:dyDescent="0.3">
      <c r="E576" s="17"/>
    </row>
    <row r="577" spans="5:5" ht="15.75" thickBot="1" x14ac:dyDescent="0.3">
      <c r="E577" s="17"/>
    </row>
    <row r="578" spans="5:5" ht="15.75" thickBot="1" x14ac:dyDescent="0.3">
      <c r="E578" s="17"/>
    </row>
    <row r="579" spans="5:5" ht="15.75" thickBot="1" x14ac:dyDescent="0.3">
      <c r="E579" s="17"/>
    </row>
    <row r="580" spans="5:5" ht="15.75" thickBot="1" x14ac:dyDescent="0.3">
      <c r="E580" s="17"/>
    </row>
    <row r="581" spans="5:5" ht="15.75" thickBot="1" x14ac:dyDescent="0.3">
      <c r="E581" s="17"/>
    </row>
    <row r="582" spans="5:5" ht="15.75" thickBot="1" x14ac:dyDescent="0.3">
      <c r="E582" s="17"/>
    </row>
    <row r="583" spans="5:5" ht="15.75" thickBot="1" x14ac:dyDescent="0.3">
      <c r="E583" s="17"/>
    </row>
    <row r="584" spans="5:5" ht="15.75" thickBot="1" x14ac:dyDescent="0.3">
      <c r="E584" s="17"/>
    </row>
    <row r="585" spans="5:5" ht="15.75" thickBot="1" x14ac:dyDescent="0.3">
      <c r="E585" s="17"/>
    </row>
    <row r="586" spans="5:5" ht="15.75" thickBot="1" x14ac:dyDescent="0.3">
      <c r="E586" s="17"/>
    </row>
    <row r="587" spans="5:5" ht="15.75" thickBot="1" x14ac:dyDescent="0.3">
      <c r="E587" s="17"/>
    </row>
    <row r="588" spans="5:5" ht="15.75" thickBot="1" x14ac:dyDescent="0.3">
      <c r="E588" s="17"/>
    </row>
    <row r="589" spans="5:5" ht="15.75" thickBot="1" x14ac:dyDescent="0.3">
      <c r="E589" s="17"/>
    </row>
    <row r="590" spans="5:5" ht="15.75" thickBot="1" x14ac:dyDescent="0.3">
      <c r="E590" s="17"/>
    </row>
    <row r="591" spans="5:5" ht="15.75" thickBot="1" x14ac:dyDescent="0.3">
      <c r="E591" s="17"/>
    </row>
    <row r="592" spans="5:5" ht="15.75" thickBot="1" x14ac:dyDescent="0.3">
      <c r="E592" s="17"/>
    </row>
    <row r="593" spans="5:5" ht="15.75" thickBot="1" x14ac:dyDescent="0.3">
      <c r="E593" s="17"/>
    </row>
    <row r="594" spans="5:5" ht="15.75" thickBot="1" x14ac:dyDescent="0.3">
      <c r="E594" s="17"/>
    </row>
    <row r="595" spans="5:5" ht="15.75" thickBot="1" x14ac:dyDescent="0.3">
      <c r="E595" s="17"/>
    </row>
    <row r="596" spans="5:5" ht="15.75" thickBot="1" x14ac:dyDescent="0.3">
      <c r="E596" s="17"/>
    </row>
    <row r="597" spans="5:5" ht="15.75" thickBot="1" x14ac:dyDescent="0.3">
      <c r="E597" s="17"/>
    </row>
    <row r="598" spans="5:5" ht="15.75" thickBot="1" x14ac:dyDescent="0.3">
      <c r="E598" s="17"/>
    </row>
    <row r="599" spans="5:5" ht="15.75" thickBot="1" x14ac:dyDescent="0.3">
      <c r="E599" s="17"/>
    </row>
    <row r="600" spans="5:5" ht="15.75" thickBot="1" x14ac:dyDescent="0.3">
      <c r="E600" s="17"/>
    </row>
    <row r="601" spans="5:5" ht="15.75" thickBot="1" x14ac:dyDescent="0.3">
      <c r="E601" s="17"/>
    </row>
    <row r="602" spans="5:5" ht="15.75" thickBot="1" x14ac:dyDescent="0.3">
      <c r="E602" s="17"/>
    </row>
    <row r="603" spans="5:5" ht="15.75" thickBot="1" x14ac:dyDescent="0.3">
      <c r="E603" s="17"/>
    </row>
    <row r="604" spans="5:5" ht="15.75" thickBot="1" x14ac:dyDescent="0.3">
      <c r="E604" s="17"/>
    </row>
    <row r="605" spans="5:5" ht="15.75" thickBot="1" x14ac:dyDescent="0.3">
      <c r="E605" s="17"/>
    </row>
    <row r="606" spans="5:5" ht="15.75" thickBot="1" x14ac:dyDescent="0.3">
      <c r="E606" s="17"/>
    </row>
    <row r="607" spans="5:5" ht="15.75" thickBot="1" x14ac:dyDescent="0.3">
      <c r="E607" s="17"/>
    </row>
    <row r="608" spans="5:5" ht="15.75" thickBot="1" x14ac:dyDescent="0.3">
      <c r="E608" s="17"/>
    </row>
    <row r="609" spans="5:5" ht="15.75" thickBot="1" x14ac:dyDescent="0.3">
      <c r="E609" s="17"/>
    </row>
    <row r="610" spans="5:5" ht="15.75" thickBot="1" x14ac:dyDescent="0.3">
      <c r="E610" s="17"/>
    </row>
    <row r="611" spans="5:5" ht="15.75" thickBot="1" x14ac:dyDescent="0.3">
      <c r="E611" s="17"/>
    </row>
    <row r="612" spans="5:5" ht="15.75" thickBot="1" x14ac:dyDescent="0.3">
      <c r="E612" s="17"/>
    </row>
    <row r="613" spans="5:5" ht="15.75" thickBot="1" x14ac:dyDescent="0.3">
      <c r="E613" s="17"/>
    </row>
    <row r="614" spans="5:5" ht="15.75" thickBot="1" x14ac:dyDescent="0.3">
      <c r="E614" s="17"/>
    </row>
    <row r="615" spans="5:5" ht="15.75" thickBot="1" x14ac:dyDescent="0.3">
      <c r="E615" s="17"/>
    </row>
    <row r="616" spans="5:5" ht="15.75" thickBot="1" x14ac:dyDescent="0.3">
      <c r="E616" s="17"/>
    </row>
    <row r="617" spans="5:5" ht="15.75" thickBot="1" x14ac:dyDescent="0.3">
      <c r="E617" s="17"/>
    </row>
    <row r="618" spans="5:5" ht="15.75" thickBot="1" x14ac:dyDescent="0.3">
      <c r="E618" s="17"/>
    </row>
    <row r="619" spans="5:5" ht="15.75" thickBot="1" x14ac:dyDescent="0.3">
      <c r="E619" s="17"/>
    </row>
    <row r="620" spans="5:5" ht="15.75" thickBot="1" x14ac:dyDescent="0.3">
      <c r="E620" s="17"/>
    </row>
    <row r="621" spans="5:5" ht="15.75" thickBot="1" x14ac:dyDescent="0.3">
      <c r="E621" s="17"/>
    </row>
    <row r="622" spans="5:5" ht="15.75" thickBot="1" x14ac:dyDescent="0.3">
      <c r="E622" s="17"/>
    </row>
    <row r="623" spans="5:5" ht="15.75" thickBot="1" x14ac:dyDescent="0.3">
      <c r="E623" s="17"/>
    </row>
    <row r="624" spans="5:5" ht="15.75" thickBot="1" x14ac:dyDescent="0.3">
      <c r="E624" s="17"/>
    </row>
    <row r="625" spans="5:5" ht="15.75" thickBot="1" x14ac:dyDescent="0.3">
      <c r="E625" s="17"/>
    </row>
    <row r="626" spans="5:5" ht="15.75" thickBot="1" x14ac:dyDescent="0.3">
      <c r="E626" s="17"/>
    </row>
    <row r="627" spans="5:5" ht="15.75" thickBot="1" x14ac:dyDescent="0.3">
      <c r="E627" s="17"/>
    </row>
    <row r="628" spans="5:5" ht="15.75" thickBot="1" x14ac:dyDescent="0.3">
      <c r="E628" s="17"/>
    </row>
    <row r="629" spans="5:5" ht="15.75" thickBot="1" x14ac:dyDescent="0.3">
      <c r="E629" s="17"/>
    </row>
    <row r="630" spans="5:5" ht="15.75" thickBot="1" x14ac:dyDescent="0.3">
      <c r="E630" s="17"/>
    </row>
    <row r="631" spans="5:5" ht="15.75" thickBot="1" x14ac:dyDescent="0.3">
      <c r="E631" s="17"/>
    </row>
    <row r="632" spans="5:5" ht="15.75" thickBot="1" x14ac:dyDescent="0.3">
      <c r="E632" s="17"/>
    </row>
    <row r="633" spans="5:5" ht="15.75" thickBot="1" x14ac:dyDescent="0.3">
      <c r="E633" s="17"/>
    </row>
    <row r="634" spans="5:5" ht="15.75" thickBot="1" x14ac:dyDescent="0.3">
      <c r="E634" s="17"/>
    </row>
    <row r="635" spans="5:5" ht="15.75" thickBot="1" x14ac:dyDescent="0.3">
      <c r="E635" s="17"/>
    </row>
    <row r="636" spans="5:5" ht="15.75" thickBot="1" x14ac:dyDescent="0.3">
      <c r="E636" s="17"/>
    </row>
    <row r="637" spans="5:5" ht="15.75" thickBot="1" x14ac:dyDescent="0.3">
      <c r="E637" s="17"/>
    </row>
    <row r="638" spans="5:5" ht="15.75" thickBot="1" x14ac:dyDescent="0.3">
      <c r="E638" s="17"/>
    </row>
    <row r="639" spans="5:5" ht="15.75" thickBot="1" x14ac:dyDescent="0.3">
      <c r="E639" s="17"/>
    </row>
    <row r="640" spans="5:5" ht="15.75" thickBot="1" x14ac:dyDescent="0.3">
      <c r="E640" s="17"/>
    </row>
    <row r="641" spans="5:5" ht="15.75" thickBot="1" x14ac:dyDescent="0.3">
      <c r="E641" s="17"/>
    </row>
    <row r="642" spans="5:5" ht="15.75" thickBot="1" x14ac:dyDescent="0.3">
      <c r="E642" s="17"/>
    </row>
    <row r="643" spans="5:5" ht="15.75" thickBot="1" x14ac:dyDescent="0.3">
      <c r="E643" s="17"/>
    </row>
    <row r="644" spans="5:5" ht="15.75" thickBot="1" x14ac:dyDescent="0.3">
      <c r="E644" s="17"/>
    </row>
    <row r="645" spans="5:5" ht="15.75" thickBot="1" x14ac:dyDescent="0.3">
      <c r="E645" s="17"/>
    </row>
    <row r="646" spans="5:5" ht="15.75" thickBot="1" x14ac:dyDescent="0.3">
      <c r="E646" s="17"/>
    </row>
    <row r="647" spans="5:5" ht="15.75" thickBot="1" x14ac:dyDescent="0.3">
      <c r="E647" s="17"/>
    </row>
    <row r="648" spans="5:5" ht="15.75" thickBot="1" x14ac:dyDescent="0.3">
      <c r="E648" s="17"/>
    </row>
    <row r="649" spans="5:5" ht="15.75" thickBot="1" x14ac:dyDescent="0.3">
      <c r="E649" s="17"/>
    </row>
    <row r="650" spans="5:5" ht="15.75" thickBot="1" x14ac:dyDescent="0.3">
      <c r="E650" s="17"/>
    </row>
    <row r="651" spans="5:5" ht="15.75" thickBot="1" x14ac:dyDescent="0.3">
      <c r="E651" s="17"/>
    </row>
    <row r="652" spans="5:5" ht="15.75" thickBot="1" x14ac:dyDescent="0.3">
      <c r="E652" s="17"/>
    </row>
    <row r="653" spans="5:5" ht="15.75" thickBot="1" x14ac:dyDescent="0.3">
      <c r="E653" s="17"/>
    </row>
    <row r="654" spans="5:5" ht="15.75" thickBot="1" x14ac:dyDescent="0.3">
      <c r="E654" s="17"/>
    </row>
    <row r="655" spans="5:5" ht="15.75" thickBot="1" x14ac:dyDescent="0.3">
      <c r="E655" s="17"/>
    </row>
    <row r="656" spans="5:5" ht="15.75" thickBot="1" x14ac:dyDescent="0.3">
      <c r="E656" s="17"/>
    </row>
    <row r="657" spans="5:5" ht="15.75" thickBot="1" x14ac:dyDescent="0.3">
      <c r="E657" s="17"/>
    </row>
    <row r="658" spans="5:5" ht="15.75" thickBot="1" x14ac:dyDescent="0.3">
      <c r="E658" s="17"/>
    </row>
    <row r="659" spans="5:5" ht="15.75" thickBot="1" x14ac:dyDescent="0.3">
      <c r="E659" s="17"/>
    </row>
    <row r="660" spans="5:5" ht="15.75" thickBot="1" x14ac:dyDescent="0.3">
      <c r="E660" s="17"/>
    </row>
    <row r="661" spans="5:5" ht="15.75" thickBot="1" x14ac:dyDescent="0.3">
      <c r="E661" s="17"/>
    </row>
    <row r="662" spans="5:5" ht="15.75" thickBot="1" x14ac:dyDescent="0.3">
      <c r="E662" s="17"/>
    </row>
    <row r="663" spans="5:5" ht="15.75" thickBot="1" x14ac:dyDescent="0.3">
      <c r="E663" s="17"/>
    </row>
    <row r="664" spans="5:5" ht="15.75" thickBot="1" x14ac:dyDescent="0.3">
      <c r="E664" s="17"/>
    </row>
    <row r="665" spans="5:5" ht="15.75" thickBot="1" x14ac:dyDescent="0.3">
      <c r="E665" s="17"/>
    </row>
    <row r="666" spans="5:5" ht="15.75" thickBot="1" x14ac:dyDescent="0.3">
      <c r="E666" s="17"/>
    </row>
    <row r="667" spans="5:5" ht="15.75" thickBot="1" x14ac:dyDescent="0.3">
      <c r="E667" s="17"/>
    </row>
    <row r="668" spans="5:5" ht="15.75" thickBot="1" x14ac:dyDescent="0.3">
      <c r="E668" s="17"/>
    </row>
    <row r="669" spans="5:5" ht="15.75" thickBot="1" x14ac:dyDescent="0.3">
      <c r="E669" s="17"/>
    </row>
    <row r="670" spans="5:5" ht="15.75" thickBot="1" x14ac:dyDescent="0.3">
      <c r="E670" s="17"/>
    </row>
    <row r="671" spans="5:5" ht="15.75" thickBot="1" x14ac:dyDescent="0.3">
      <c r="E671" s="17"/>
    </row>
    <row r="672" spans="5:5" ht="15.75" thickBot="1" x14ac:dyDescent="0.3">
      <c r="E672" s="17"/>
    </row>
    <row r="673" spans="5:5" ht="15.75" thickBot="1" x14ac:dyDescent="0.3">
      <c r="E673" s="17"/>
    </row>
    <row r="674" spans="5:5" ht="15.75" thickBot="1" x14ac:dyDescent="0.3">
      <c r="E674" s="17"/>
    </row>
    <row r="675" spans="5:5" ht="15.75" thickBot="1" x14ac:dyDescent="0.3">
      <c r="E675" s="17"/>
    </row>
    <row r="676" spans="5:5" ht="15.75" thickBot="1" x14ac:dyDescent="0.3">
      <c r="E676" s="17"/>
    </row>
    <row r="677" spans="5:5" ht="15.75" thickBot="1" x14ac:dyDescent="0.3">
      <c r="E677" s="17"/>
    </row>
    <row r="678" spans="5:5" ht="15.75" thickBot="1" x14ac:dyDescent="0.3">
      <c r="E678" s="17"/>
    </row>
    <row r="679" spans="5:5" ht="15.75" thickBot="1" x14ac:dyDescent="0.3">
      <c r="E679" s="17"/>
    </row>
    <row r="680" spans="5:5" ht="15.75" thickBot="1" x14ac:dyDescent="0.3">
      <c r="E680" s="17"/>
    </row>
    <row r="681" spans="5:5" ht="15.75" thickBot="1" x14ac:dyDescent="0.3">
      <c r="E681" s="17"/>
    </row>
    <row r="682" spans="5:5" ht="15.75" thickBot="1" x14ac:dyDescent="0.3">
      <c r="E682" s="17"/>
    </row>
    <row r="683" spans="5:5" ht="15.75" thickBot="1" x14ac:dyDescent="0.3">
      <c r="E683" s="17"/>
    </row>
    <row r="684" spans="5:5" ht="15.75" thickBot="1" x14ac:dyDescent="0.3">
      <c r="E684" s="17"/>
    </row>
    <row r="685" spans="5:5" ht="15.75" thickBot="1" x14ac:dyDescent="0.3">
      <c r="E685" s="17"/>
    </row>
    <row r="686" spans="5:5" ht="15.75" thickBot="1" x14ac:dyDescent="0.3">
      <c r="E686" s="17"/>
    </row>
    <row r="687" spans="5:5" ht="15.75" thickBot="1" x14ac:dyDescent="0.3">
      <c r="E687" s="17"/>
    </row>
    <row r="688" spans="5:5" ht="15.75" thickBot="1" x14ac:dyDescent="0.3">
      <c r="E688" s="17"/>
    </row>
    <row r="689" spans="5:5" ht="15.75" thickBot="1" x14ac:dyDescent="0.3">
      <c r="E689" s="17"/>
    </row>
    <row r="690" spans="5:5" ht="15.75" thickBot="1" x14ac:dyDescent="0.3">
      <c r="E690" s="17"/>
    </row>
    <row r="691" spans="5:5" ht="15.75" thickBot="1" x14ac:dyDescent="0.3">
      <c r="E691" s="17"/>
    </row>
    <row r="692" spans="5:5" ht="15.75" thickBot="1" x14ac:dyDescent="0.3">
      <c r="E692" s="17"/>
    </row>
    <row r="693" spans="5:5" ht="15.75" thickBot="1" x14ac:dyDescent="0.3">
      <c r="E693" s="17"/>
    </row>
    <row r="694" spans="5:5" ht="15.75" thickBot="1" x14ac:dyDescent="0.3">
      <c r="E694" s="17"/>
    </row>
    <row r="695" spans="5:5" ht="15.75" thickBot="1" x14ac:dyDescent="0.3">
      <c r="E695" s="17"/>
    </row>
    <row r="696" spans="5:5" ht="15.75" thickBot="1" x14ac:dyDescent="0.3">
      <c r="E696" s="17"/>
    </row>
    <row r="697" spans="5:5" ht="15.75" thickBot="1" x14ac:dyDescent="0.3">
      <c r="E697" s="17"/>
    </row>
    <row r="698" spans="5:5" ht="15.75" thickBot="1" x14ac:dyDescent="0.3">
      <c r="E698" s="17"/>
    </row>
    <row r="699" spans="5:5" ht="15.75" thickBot="1" x14ac:dyDescent="0.3">
      <c r="E699" s="17"/>
    </row>
    <row r="700" spans="5:5" ht="15.75" thickBot="1" x14ac:dyDescent="0.3">
      <c r="E700" s="17"/>
    </row>
    <row r="701" spans="5:5" ht="15.75" thickBot="1" x14ac:dyDescent="0.3">
      <c r="E701" s="17"/>
    </row>
    <row r="702" spans="5:5" ht="15.75" thickBot="1" x14ac:dyDescent="0.3">
      <c r="E702" s="17"/>
    </row>
    <row r="703" spans="5:5" ht="15.75" thickBot="1" x14ac:dyDescent="0.3">
      <c r="E703" s="17"/>
    </row>
    <row r="704" spans="5:5" ht="15.75" thickBot="1" x14ac:dyDescent="0.3">
      <c r="E704" s="17"/>
    </row>
    <row r="705" spans="5:5" ht="15.75" thickBot="1" x14ac:dyDescent="0.3">
      <c r="E705" s="17"/>
    </row>
    <row r="706" spans="5:5" ht="15.75" thickBot="1" x14ac:dyDescent="0.3">
      <c r="E706" s="17"/>
    </row>
    <row r="707" spans="5:5" ht="15.75" thickBot="1" x14ac:dyDescent="0.3">
      <c r="E707" s="17"/>
    </row>
    <row r="708" spans="5:5" ht="15.75" thickBot="1" x14ac:dyDescent="0.3">
      <c r="E708" s="17"/>
    </row>
    <row r="709" spans="5:5" ht="15.75" thickBot="1" x14ac:dyDescent="0.3">
      <c r="E709" s="17"/>
    </row>
    <row r="710" spans="5:5" ht="15.75" thickBot="1" x14ac:dyDescent="0.3">
      <c r="E710" s="17"/>
    </row>
    <row r="711" spans="5:5" ht="15.75" thickBot="1" x14ac:dyDescent="0.3">
      <c r="E711" s="17"/>
    </row>
    <row r="712" spans="5:5" ht="15.75" thickBot="1" x14ac:dyDescent="0.3">
      <c r="E712" s="17"/>
    </row>
    <row r="713" spans="5:5" ht="15.75" thickBot="1" x14ac:dyDescent="0.3">
      <c r="E713" s="17"/>
    </row>
    <row r="714" spans="5:5" ht="15.75" thickBot="1" x14ac:dyDescent="0.3">
      <c r="E714" s="17"/>
    </row>
    <row r="715" spans="5:5" ht="15.75" thickBot="1" x14ac:dyDescent="0.3">
      <c r="E715" s="17"/>
    </row>
    <row r="716" spans="5:5" ht="15.75" thickBot="1" x14ac:dyDescent="0.3">
      <c r="E716" s="17"/>
    </row>
    <row r="717" spans="5:5" ht="15.75" thickBot="1" x14ac:dyDescent="0.3">
      <c r="E717" s="17"/>
    </row>
    <row r="718" spans="5:5" ht="15.75" thickBot="1" x14ac:dyDescent="0.3">
      <c r="E718" s="17"/>
    </row>
    <row r="719" spans="5:5" ht="15.75" thickBot="1" x14ac:dyDescent="0.3">
      <c r="E719" s="17"/>
    </row>
    <row r="720" spans="5:5" ht="15.75" thickBot="1" x14ac:dyDescent="0.3">
      <c r="E720" s="17"/>
    </row>
    <row r="721" spans="5:5" ht="15.75" thickBot="1" x14ac:dyDescent="0.3">
      <c r="E721" s="17"/>
    </row>
    <row r="722" spans="5:5" ht="15.75" thickBot="1" x14ac:dyDescent="0.3">
      <c r="E722" s="17"/>
    </row>
    <row r="723" spans="5:5" ht="15.75" thickBot="1" x14ac:dyDescent="0.3">
      <c r="E723" s="17"/>
    </row>
    <row r="724" spans="5:5" ht="15.75" thickBot="1" x14ac:dyDescent="0.3">
      <c r="E724" s="17"/>
    </row>
    <row r="725" spans="5:5" ht="15.75" thickBot="1" x14ac:dyDescent="0.3">
      <c r="E725" s="17"/>
    </row>
    <row r="726" spans="5:5" ht="15.75" thickBot="1" x14ac:dyDescent="0.3">
      <c r="E726" s="17"/>
    </row>
    <row r="727" spans="5:5" ht="15.75" thickBot="1" x14ac:dyDescent="0.3">
      <c r="E727" s="17"/>
    </row>
    <row r="728" spans="5:5" ht="15.75" thickBot="1" x14ac:dyDescent="0.3">
      <c r="E728" s="17"/>
    </row>
    <row r="729" spans="5:5" ht="15.75" thickBot="1" x14ac:dyDescent="0.3">
      <c r="E729" s="17"/>
    </row>
    <row r="730" spans="5:5" ht="15.75" thickBot="1" x14ac:dyDescent="0.3">
      <c r="E730" s="17"/>
    </row>
    <row r="731" spans="5:5" ht="15.75" thickBot="1" x14ac:dyDescent="0.3">
      <c r="E731" s="17"/>
    </row>
    <row r="732" spans="5:5" ht="15.75" thickBot="1" x14ac:dyDescent="0.3">
      <c r="E732" s="17"/>
    </row>
    <row r="733" spans="5:5" ht="15.75" thickBot="1" x14ac:dyDescent="0.3">
      <c r="E733" s="17"/>
    </row>
    <row r="734" spans="5:5" ht="15.75" thickBot="1" x14ac:dyDescent="0.3">
      <c r="E734" s="17"/>
    </row>
    <row r="735" spans="5:5" ht="15.75" thickBot="1" x14ac:dyDescent="0.3">
      <c r="E735" s="17"/>
    </row>
    <row r="736" spans="5:5" ht="15.75" thickBot="1" x14ac:dyDescent="0.3">
      <c r="E736" s="17"/>
    </row>
    <row r="737" spans="5:5" ht="15.75" thickBot="1" x14ac:dyDescent="0.3">
      <c r="E737" s="17"/>
    </row>
    <row r="738" spans="5:5" ht="15.75" thickBot="1" x14ac:dyDescent="0.3">
      <c r="E738" s="17"/>
    </row>
    <row r="739" spans="5:5" ht="15.75" thickBot="1" x14ac:dyDescent="0.3">
      <c r="E739" s="17"/>
    </row>
    <row r="740" spans="5:5" ht="15.75" thickBot="1" x14ac:dyDescent="0.3">
      <c r="E740" s="17"/>
    </row>
    <row r="741" spans="5:5" ht="15.75" thickBot="1" x14ac:dyDescent="0.3">
      <c r="E741" s="17"/>
    </row>
    <row r="742" spans="5:5" ht="15.75" thickBot="1" x14ac:dyDescent="0.3">
      <c r="E742" s="17"/>
    </row>
    <row r="743" spans="5:5" ht="15.75" thickBot="1" x14ac:dyDescent="0.3">
      <c r="E743" s="17"/>
    </row>
    <row r="744" spans="5:5" ht="15.75" thickBot="1" x14ac:dyDescent="0.3">
      <c r="E744" s="17"/>
    </row>
    <row r="745" spans="5:5" ht="15.75" thickBot="1" x14ac:dyDescent="0.3">
      <c r="E745" s="17"/>
    </row>
    <row r="746" spans="5:5" ht="15.75" thickBot="1" x14ac:dyDescent="0.3">
      <c r="E746" s="17"/>
    </row>
    <row r="747" spans="5:5" ht="15.75" thickBot="1" x14ac:dyDescent="0.3">
      <c r="E747" s="17"/>
    </row>
    <row r="748" spans="5:5" ht="15.75" thickBot="1" x14ac:dyDescent="0.3">
      <c r="E748" s="17"/>
    </row>
    <row r="749" spans="5:5" ht="15.75" thickBot="1" x14ac:dyDescent="0.3">
      <c r="E749" s="17"/>
    </row>
    <row r="750" spans="5:5" ht="15.75" thickBot="1" x14ac:dyDescent="0.3">
      <c r="E750" s="17"/>
    </row>
    <row r="751" spans="5:5" ht="15.75" thickBot="1" x14ac:dyDescent="0.3">
      <c r="E751" s="17"/>
    </row>
    <row r="752" spans="5:5" ht="15.75" thickBot="1" x14ac:dyDescent="0.3">
      <c r="E752" s="17"/>
    </row>
    <row r="753" spans="5:5" ht="15.75" thickBot="1" x14ac:dyDescent="0.3">
      <c r="E753" s="17"/>
    </row>
    <row r="754" spans="5:5" ht="15.75" thickBot="1" x14ac:dyDescent="0.3">
      <c r="E754" s="17"/>
    </row>
    <row r="755" spans="5:5" ht="15.75" thickBot="1" x14ac:dyDescent="0.3">
      <c r="E755" s="17"/>
    </row>
    <row r="756" spans="5:5" ht="15.75" thickBot="1" x14ac:dyDescent="0.3">
      <c r="E756" s="17"/>
    </row>
    <row r="757" spans="5:5" ht="15.75" thickBot="1" x14ac:dyDescent="0.3">
      <c r="E757" s="17"/>
    </row>
    <row r="758" spans="5:5" ht="15.75" thickBot="1" x14ac:dyDescent="0.3">
      <c r="E758" s="17"/>
    </row>
    <row r="759" spans="5:5" ht="15.75" thickBot="1" x14ac:dyDescent="0.3">
      <c r="E759" s="17"/>
    </row>
    <row r="760" spans="5:5" ht="15.75" thickBot="1" x14ac:dyDescent="0.3">
      <c r="E760" s="17"/>
    </row>
    <row r="761" spans="5:5" ht="15.75" thickBot="1" x14ac:dyDescent="0.3">
      <c r="E761" s="17"/>
    </row>
    <row r="762" spans="5:5" ht="15.75" thickBot="1" x14ac:dyDescent="0.3">
      <c r="E762" s="17"/>
    </row>
    <row r="763" spans="5:5" ht="15.75" thickBot="1" x14ac:dyDescent="0.3">
      <c r="E763" s="17"/>
    </row>
    <row r="764" spans="5:5" ht="15.75" thickBot="1" x14ac:dyDescent="0.3">
      <c r="E764" s="17"/>
    </row>
    <row r="765" spans="5:5" ht="15.75" thickBot="1" x14ac:dyDescent="0.3">
      <c r="E765" s="17"/>
    </row>
    <row r="766" spans="5:5" ht="15.75" thickBot="1" x14ac:dyDescent="0.3">
      <c r="E766" s="17"/>
    </row>
    <row r="767" spans="5:5" ht="15.75" thickBot="1" x14ac:dyDescent="0.3">
      <c r="E767" s="17"/>
    </row>
    <row r="768" spans="5:5" ht="15.75" thickBot="1" x14ac:dyDescent="0.3">
      <c r="E768" s="17"/>
    </row>
    <row r="769" spans="5:5" ht="15.75" thickBot="1" x14ac:dyDescent="0.3">
      <c r="E769" s="17"/>
    </row>
    <row r="770" spans="5:5" ht="15.75" thickBot="1" x14ac:dyDescent="0.3">
      <c r="E770" s="17"/>
    </row>
    <row r="771" spans="5:5" ht="15.75" thickBot="1" x14ac:dyDescent="0.3">
      <c r="E771" s="17"/>
    </row>
    <row r="772" spans="5:5" ht="15.75" thickBot="1" x14ac:dyDescent="0.3">
      <c r="E772" s="17"/>
    </row>
    <row r="773" spans="5:5" ht="15.75" thickBot="1" x14ac:dyDescent="0.3">
      <c r="E773" s="17"/>
    </row>
    <row r="774" spans="5:5" ht="15.75" thickBot="1" x14ac:dyDescent="0.3">
      <c r="E774" s="17"/>
    </row>
    <row r="775" spans="5:5" ht="15.75" thickBot="1" x14ac:dyDescent="0.3">
      <c r="E775" s="17"/>
    </row>
    <row r="776" spans="5:5" ht="15.75" thickBot="1" x14ac:dyDescent="0.3">
      <c r="E776" s="17"/>
    </row>
    <row r="777" spans="5:5" ht="15.75" thickBot="1" x14ac:dyDescent="0.3">
      <c r="E777" s="17"/>
    </row>
    <row r="778" spans="5:5" ht="15.75" thickBot="1" x14ac:dyDescent="0.3">
      <c r="E778" s="17"/>
    </row>
    <row r="779" spans="5:5" ht="15.75" thickBot="1" x14ac:dyDescent="0.3">
      <c r="E779" s="17"/>
    </row>
    <row r="780" spans="5:5" ht="15.75" thickBot="1" x14ac:dyDescent="0.3">
      <c r="E780" s="17"/>
    </row>
    <row r="781" spans="5:5" ht="15.75" thickBot="1" x14ac:dyDescent="0.3">
      <c r="E781" s="17"/>
    </row>
    <row r="782" spans="5:5" ht="15.75" thickBot="1" x14ac:dyDescent="0.3">
      <c r="E782" s="17"/>
    </row>
    <row r="783" spans="5:5" ht="15.75" thickBot="1" x14ac:dyDescent="0.3">
      <c r="E783" s="17"/>
    </row>
    <row r="784" spans="5:5" ht="15.75" thickBot="1" x14ac:dyDescent="0.3">
      <c r="E784" s="17"/>
    </row>
    <row r="785" spans="5:5" ht="15.75" thickBot="1" x14ac:dyDescent="0.3">
      <c r="E785" s="17"/>
    </row>
    <row r="786" spans="5:5" ht="15.75" thickBot="1" x14ac:dyDescent="0.3">
      <c r="E786" s="17"/>
    </row>
    <row r="787" spans="5:5" ht="15.75" thickBot="1" x14ac:dyDescent="0.3">
      <c r="E787" s="17"/>
    </row>
    <row r="788" spans="5:5" ht="15.75" thickBot="1" x14ac:dyDescent="0.3">
      <c r="E788" s="17"/>
    </row>
    <row r="789" spans="5:5" ht="15.75" thickBot="1" x14ac:dyDescent="0.3">
      <c r="E789" s="17"/>
    </row>
    <row r="790" spans="5:5" ht="15.75" thickBot="1" x14ac:dyDescent="0.3">
      <c r="E790" s="17"/>
    </row>
    <row r="791" spans="5:5" ht="15.75" thickBot="1" x14ac:dyDescent="0.3">
      <c r="E791" s="17"/>
    </row>
    <row r="792" spans="5:5" ht="15.75" thickBot="1" x14ac:dyDescent="0.3">
      <c r="E792" s="17"/>
    </row>
    <row r="793" spans="5:5" ht="15.75" thickBot="1" x14ac:dyDescent="0.3">
      <c r="E793" s="17"/>
    </row>
    <row r="794" spans="5:5" ht="15.75" thickBot="1" x14ac:dyDescent="0.3">
      <c r="E794" s="17"/>
    </row>
    <row r="795" spans="5:5" ht="15.75" thickBot="1" x14ac:dyDescent="0.3">
      <c r="E795" s="17"/>
    </row>
    <row r="796" spans="5:5" ht="15.75" thickBot="1" x14ac:dyDescent="0.3">
      <c r="E796" s="17"/>
    </row>
    <row r="797" spans="5:5" ht="15.75" thickBot="1" x14ac:dyDescent="0.3">
      <c r="E797" s="17"/>
    </row>
    <row r="798" spans="5:5" ht="15.75" thickBot="1" x14ac:dyDescent="0.3">
      <c r="E798" s="17"/>
    </row>
    <row r="799" spans="5:5" ht="15.75" thickBot="1" x14ac:dyDescent="0.3">
      <c r="E799" s="17"/>
    </row>
    <row r="800" spans="5:5" ht="15.75" thickBot="1" x14ac:dyDescent="0.3">
      <c r="E800" s="17"/>
    </row>
    <row r="801" spans="5:5" ht="15.75" thickBot="1" x14ac:dyDescent="0.3">
      <c r="E801" s="17"/>
    </row>
    <row r="802" spans="5:5" ht="15.75" thickBot="1" x14ac:dyDescent="0.3">
      <c r="E802" s="17"/>
    </row>
    <row r="803" spans="5:5" ht="15.75" thickBot="1" x14ac:dyDescent="0.3">
      <c r="E803" s="17"/>
    </row>
    <row r="804" spans="5:5" ht="15.75" thickBot="1" x14ac:dyDescent="0.3">
      <c r="E804" s="17"/>
    </row>
    <row r="805" spans="5:5" ht="15.75" thickBot="1" x14ac:dyDescent="0.3">
      <c r="E805" s="17"/>
    </row>
    <row r="806" spans="5:5" ht="15.75" thickBot="1" x14ac:dyDescent="0.3">
      <c r="E806" s="17"/>
    </row>
    <row r="807" spans="5:5" ht="15.75" thickBot="1" x14ac:dyDescent="0.3">
      <c r="E807" s="17"/>
    </row>
    <row r="808" spans="5:5" ht="15.75" thickBot="1" x14ac:dyDescent="0.3">
      <c r="E808" s="17"/>
    </row>
    <row r="809" spans="5:5" ht="15.75" thickBot="1" x14ac:dyDescent="0.3">
      <c r="E809" s="17"/>
    </row>
    <row r="810" spans="5:5" ht="15.75" thickBot="1" x14ac:dyDescent="0.3">
      <c r="E810" s="17"/>
    </row>
    <row r="811" spans="5:5" ht="15.75" thickBot="1" x14ac:dyDescent="0.3">
      <c r="E811" s="17"/>
    </row>
    <row r="812" spans="5:5" ht="15.75" thickBot="1" x14ac:dyDescent="0.3">
      <c r="E812" s="17"/>
    </row>
    <row r="813" spans="5:5" ht="15.75" thickBot="1" x14ac:dyDescent="0.3">
      <c r="E813" s="17"/>
    </row>
    <row r="814" spans="5:5" ht="15.75" thickBot="1" x14ac:dyDescent="0.3">
      <c r="E814" s="17"/>
    </row>
    <row r="815" spans="5:5" ht="15.75" thickBot="1" x14ac:dyDescent="0.3">
      <c r="E815" s="17"/>
    </row>
    <row r="816" spans="5:5" ht="15.75" thickBot="1" x14ac:dyDescent="0.3">
      <c r="E816" s="17"/>
    </row>
    <row r="817" spans="5:5" ht="15.75" thickBot="1" x14ac:dyDescent="0.3">
      <c r="E817" s="17"/>
    </row>
    <row r="818" spans="5:5" ht="15.75" thickBot="1" x14ac:dyDescent="0.3">
      <c r="E818" s="17"/>
    </row>
    <row r="819" spans="5:5" ht="15.75" thickBot="1" x14ac:dyDescent="0.3">
      <c r="E819" s="17"/>
    </row>
    <row r="820" spans="5:5" ht="15.75" thickBot="1" x14ac:dyDescent="0.3">
      <c r="E820" s="17"/>
    </row>
    <row r="821" spans="5:5" ht="15.75" thickBot="1" x14ac:dyDescent="0.3">
      <c r="E821" s="17"/>
    </row>
    <row r="822" spans="5:5" ht="15.75" thickBot="1" x14ac:dyDescent="0.3">
      <c r="E822" s="17"/>
    </row>
    <row r="823" spans="5:5" ht="15.75" thickBot="1" x14ac:dyDescent="0.3">
      <c r="E823" s="17"/>
    </row>
    <row r="824" spans="5:5" ht="15.75" thickBot="1" x14ac:dyDescent="0.3">
      <c r="E824" s="17"/>
    </row>
    <row r="825" spans="5:5" ht="15.75" thickBot="1" x14ac:dyDescent="0.3">
      <c r="E825" s="17"/>
    </row>
    <row r="826" spans="5:5" ht="15.75" thickBot="1" x14ac:dyDescent="0.3">
      <c r="E826" s="17"/>
    </row>
    <row r="827" spans="5:5" ht="15.75" thickBot="1" x14ac:dyDescent="0.3">
      <c r="E827" s="17"/>
    </row>
    <row r="828" spans="5:5" ht="15.75" thickBot="1" x14ac:dyDescent="0.3">
      <c r="E828" s="17"/>
    </row>
    <row r="829" spans="5:5" ht="15.75" thickBot="1" x14ac:dyDescent="0.3">
      <c r="E829" s="17"/>
    </row>
    <row r="830" spans="5:5" ht="15.75" thickBot="1" x14ac:dyDescent="0.3">
      <c r="E830" s="17"/>
    </row>
    <row r="831" spans="5:5" ht="15.75" thickBot="1" x14ac:dyDescent="0.3">
      <c r="E831" s="17"/>
    </row>
    <row r="832" spans="5:5" ht="15.75" thickBot="1" x14ac:dyDescent="0.3">
      <c r="E832" s="17"/>
    </row>
    <row r="833" spans="5:5" ht="15.75" thickBot="1" x14ac:dyDescent="0.3">
      <c r="E833" s="17"/>
    </row>
    <row r="834" spans="5:5" ht="15.75" thickBot="1" x14ac:dyDescent="0.3">
      <c r="E834" s="17"/>
    </row>
    <row r="835" spans="5:5" ht="15.75" thickBot="1" x14ac:dyDescent="0.3">
      <c r="E835" s="17"/>
    </row>
    <row r="836" spans="5:5" ht="15.75" thickBot="1" x14ac:dyDescent="0.3">
      <c r="E836" s="17"/>
    </row>
    <row r="837" spans="5:5" ht="15.75" thickBot="1" x14ac:dyDescent="0.3">
      <c r="E837" s="17"/>
    </row>
    <row r="838" spans="5:5" ht="15.75" thickBot="1" x14ac:dyDescent="0.3">
      <c r="E838" s="17"/>
    </row>
    <row r="839" spans="5:5" ht="15.75" thickBot="1" x14ac:dyDescent="0.3">
      <c r="E839" s="17"/>
    </row>
    <row r="840" spans="5:5" ht="15.75" thickBot="1" x14ac:dyDescent="0.3">
      <c r="E840" s="17"/>
    </row>
    <row r="841" spans="5:5" ht="15.75" thickBot="1" x14ac:dyDescent="0.3">
      <c r="E841" s="17"/>
    </row>
    <row r="842" spans="5:5" ht="15.75" thickBot="1" x14ac:dyDescent="0.3">
      <c r="E842" s="17"/>
    </row>
    <row r="843" spans="5:5" ht="15.75" thickBot="1" x14ac:dyDescent="0.3">
      <c r="E843" s="17"/>
    </row>
    <row r="844" spans="5:5" ht="15.75" thickBot="1" x14ac:dyDescent="0.3">
      <c r="E844" s="17"/>
    </row>
    <row r="845" spans="5:5" ht="15.75" thickBot="1" x14ac:dyDescent="0.3">
      <c r="E845" s="17"/>
    </row>
    <row r="846" spans="5:5" ht="15.75" thickBot="1" x14ac:dyDescent="0.3">
      <c r="E846" s="17"/>
    </row>
    <row r="847" spans="5:5" ht="15.75" thickBot="1" x14ac:dyDescent="0.3">
      <c r="E847" s="17"/>
    </row>
    <row r="848" spans="5:5" ht="15.75" thickBot="1" x14ac:dyDescent="0.3">
      <c r="E848" s="17"/>
    </row>
    <row r="849" spans="5:5" ht="15.75" thickBot="1" x14ac:dyDescent="0.3">
      <c r="E849" s="17"/>
    </row>
    <row r="850" spans="5:5" ht="15.75" thickBot="1" x14ac:dyDescent="0.3">
      <c r="E850" s="17"/>
    </row>
    <row r="851" spans="5:5" ht="15.75" thickBot="1" x14ac:dyDescent="0.3">
      <c r="E851" s="17"/>
    </row>
    <row r="852" spans="5:5" ht="15.75" thickBot="1" x14ac:dyDescent="0.3">
      <c r="E852" s="17"/>
    </row>
    <row r="853" spans="5:5" ht="15.75" thickBot="1" x14ac:dyDescent="0.3">
      <c r="E853" s="17"/>
    </row>
    <row r="854" spans="5:5" ht="15.75" thickBot="1" x14ac:dyDescent="0.3">
      <c r="E854" s="17"/>
    </row>
    <row r="855" spans="5:5" ht="15.75" thickBot="1" x14ac:dyDescent="0.3">
      <c r="E855" s="17"/>
    </row>
    <row r="856" spans="5:5" ht="15.75" thickBot="1" x14ac:dyDescent="0.3">
      <c r="E856" s="17"/>
    </row>
    <row r="857" spans="5:5" ht="15.75" thickBot="1" x14ac:dyDescent="0.3">
      <c r="E857" s="17"/>
    </row>
    <row r="858" spans="5:5" ht="15.75" thickBot="1" x14ac:dyDescent="0.3">
      <c r="E858" s="17"/>
    </row>
    <row r="859" spans="5:5" ht="15.75" thickBot="1" x14ac:dyDescent="0.3">
      <c r="E859" s="17"/>
    </row>
    <row r="860" spans="5:5" ht="15.75" thickBot="1" x14ac:dyDescent="0.3">
      <c r="E860" s="17"/>
    </row>
    <row r="861" spans="5:5" ht="15.75" thickBot="1" x14ac:dyDescent="0.3">
      <c r="E861" s="17"/>
    </row>
    <row r="862" spans="5:5" ht="15.75" thickBot="1" x14ac:dyDescent="0.3">
      <c r="E862" s="17"/>
    </row>
    <row r="863" spans="5:5" ht="15.75" thickBot="1" x14ac:dyDescent="0.3">
      <c r="E863" s="17"/>
    </row>
    <row r="864" spans="5:5" ht="15.75" thickBot="1" x14ac:dyDescent="0.3">
      <c r="E864" s="17"/>
    </row>
    <row r="865" spans="5:5" ht="15.75" thickBot="1" x14ac:dyDescent="0.3">
      <c r="E865" s="17"/>
    </row>
    <row r="866" spans="5:5" ht="15.75" thickBot="1" x14ac:dyDescent="0.3">
      <c r="E866" s="17"/>
    </row>
    <row r="867" spans="5:5" ht="15.75" thickBot="1" x14ac:dyDescent="0.3">
      <c r="E867" s="17"/>
    </row>
    <row r="868" spans="5:5" ht="15.75" thickBot="1" x14ac:dyDescent="0.3">
      <c r="E868" s="17"/>
    </row>
    <row r="869" spans="5:5" ht="15.75" thickBot="1" x14ac:dyDescent="0.3">
      <c r="E869" s="17"/>
    </row>
    <row r="870" spans="5:5" ht="15.75" thickBot="1" x14ac:dyDescent="0.3">
      <c r="E870" s="17"/>
    </row>
    <row r="871" spans="5:5" ht="15.75" thickBot="1" x14ac:dyDescent="0.3">
      <c r="E871" s="17"/>
    </row>
    <row r="872" spans="5:5" ht="15.75" thickBot="1" x14ac:dyDescent="0.3">
      <c r="E872" s="17"/>
    </row>
    <row r="873" spans="5:5" ht="15.75" thickBot="1" x14ac:dyDescent="0.3">
      <c r="E873" s="17"/>
    </row>
    <row r="874" spans="5:5" ht="15.75" thickBot="1" x14ac:dyDescent="0.3">
      <c r="E874" s="17"/>
    </row>
    <row r="875" spans="5:5" ht="15.75" thickBot="1" x14ac:dyDescent="0.3">
      <c r="E875" s="17"/>
    </row>
    <row r="876" spans="5:5" ht="15.75" thickBot="1" x14ac:dyDescent="0.3">
      <c r="E876" s="17"/>
    </row>
    <row r="877" spans="5:5" ht="15.75" thickBot="1" x14ac:dyDescent="0.3">
      <c r="E877" s="17"/>
    </row>
    <row r="878" spans="5:5" ht="15.75" thickBot="1" x14ac:dyDescent="0.3">
      <c r="E878" s="17"/>
    </row>
    <row r="879" spans="5:5" ht="15.75" thickBot="1" x14ac:dyDescent="0.3">
      <c r="E879" s="17"/>
    </row>
    <row r="880" spans="5:5" ht="15.75" thickBot="1" x14ac:dyDescent="0.3">
      <c r="E880" s="17"/>
    </row>
    <row r="881" spans="5:5" ht="15.75" thickBot="1" x14ac:dyDescent="0.3">
      <c r="E881" s="17"/>
    </row>
    <row r="882" spans="5:5" ht="15.75" thickBot="1" x14ac:dyDescent="0.3">
      <c r="E882" s="17"/>
    </row>
    <row r="883" spans="5:5" ht="15.75" thickBot="1" x14ac:dyDescent="0.3">
      <c r="E883" s="17"/>
    </row>
    <row r="884" spans="5:5" ht="15.75" thickBot="1" x14ac:dyDescent="0.3">
      <c r="E884" s="17"/>
    </row>
    <row r="885" spans="5:5" ht="15.75" thickBot="1" x14ac:dyDescent="0.3">
      <c r="E885" s="17"/>
    </row>
    <row r="886" spans="5:5" ht="15.75" thickBot="1" x14ac:dyDescent="0.3">
      <c r="E886" s="17"/>
    </row>
    <row r="887" spans="5:5" ht="15.75" thickBot="1" x14ac:dyDescent="0.3">
      <c r="E887" s="17"/>
    </row>
    <row r="888" spans="5:5" ht="15.75" thickBot="1" x14ac:dyDescent="0.3">
      <c r="E888" s="17"/>
    </row>
    <row r="889" spans="5:5" ht="15.75" thickBot="1" x14ac:dyDescent="0.3">
      <c r="E889" s="17"/>
    </row>
    <row r="890" spans="5:5" ht="15.75" thickBot="1" x14ac:dyDescent="0.3">
      <c r="E890" s="17"/>
    </row>
    <row r="891" spans="5:5" ht="15.75" thickBot="1" x14ac:dyDescent="0.3">
      <c r="E891" s="17"/>
    </row>
    <row r="892" spans="5:5" ht="15.75" thickBot="1" x14ac:dyDescent="0.3">
      <c r="E892" s="17"/>
    </row>
    <row r="893" spans="5:5" ht="15.75" thickBot="1" x14ac:dyDescent="0.3">
      <c r="E893" s="17"/>
    </row>
    <row r="894" spans="5:5" ht="15.75" thickBot="1" x14ac:dyDescent="0.3">
      <c r="E894" s="17"/>
    </row>
    <row r="895" spans="5:5" ht="15.75" thickBot="1" x14ac:dyDescent="0.3">
      <c r="E895" s="17"/>
    </row>
    <row r="896" spans="5:5" ht="15.75" thickBot="1" x14ac:dyDescent="0.3">
      <c r="E896" s="17"/>
    </row>
    <row r="897" spans="5:5" ht="15.75" thickBot="1" x14ac:dyDescent="0.3">
      <c r="E897" s="17"/>
    </row>
    <row r="898" spans="5:5" ht="15.75" thickBot="1" x14ac:dyDescent="0.3">
      <c r="E898" s="17"/>
    </row>
    <row r="899" spans="5:5" ht="15.75" thickBot="1" x14ac:dyDescent="0.3">
      <c r="E899" s="17"/>
    </row>
    <row r="900" spans="5:5" ht="15.75" thickBot="1" x14ac:dyDescent="0.3">
      <c r="E900" s="17"/>
    </row>
    <row r="901" spans="5:5" ht="15.75" thickBot="1" x14ac:dyDescent="0.3">
      <c r="E901" s="17"/>
    </row>
    <row r="902" spans="5:5" ht="15.75" thickBot="1" x14ac:dyDescent="0.3">
      <c r="E902" s="17"/>
    </row>
    <row r="903" spans="5:5" ht="15.75" thickBot="1" x14ac:dyDescent="0.3">
      <c r="E903" s="17"/>
    </row>
    <row r="904" spans="5:5" ht="15.75" thickBot="1" x14ac:dyDescent="0.3">
      <c r="E904" s="17"/>
    </row>
    <row r="905" spans="5:5" ht="15.75" thickBot="1" x14ac:dyDescent="0.3">
      <c r="E905" s="17"/>
    </row>
    <row r="906" spans="5:5" ht="15.75" thickBot="1" x14ac:dyDescent="0.3">
      <c r="E906" s="17"/>
    </row>
    <row r="907" spans="5:5" ht="15.75" thickBot="1" x14ac:dyDescent="0.3">
      <c r="E907" s="17"/>
    </row>
    <row r="908" spans="5:5" ht="15.75" thickBot="1" x14ac:dyDescent="0.3">
      <c r="E908" s="17"/>
    </row>
    <row r="909" spans="5:5" ht="15.75" thickBot="1" x14ac:dyDescent="0.3">
      <c r="E909" s="17"/>
    </row>
    <row r="910" spans="5:5" ht="15.75" thickBot="1" x14ac:dyDescent="0.3">
      <c r="E910" s="17"/>
    </row>
    <row r="911" spans="5:5" ht="15.75" thickBot="1" x14ac:dyDescent="0.3">
      <c r="E911" s="17"/>
    </row>
    <row r="912" spans="5:5" ht="15.75" thickBot="1" x14ac:dyDescent="0.3">
      <c r="E912" s="17"/>
    </row>
    <row r="913" spans="5:5" ht="15.75" thickBot="1" x14ac:dyDescent="0.3">
      <c r="E913" s="17"/>
    </row>
    <row r="914" spans="5:5" ht="15.75" thickBot="1" x14ac:dyDescent="0.3">
      <c r="E914" s="17"/>
    </row>
    <row r="915" spans="5:5" ht="15.75" thickBot="1" x14ac:dyDescent="0.3">
      <c r="E915" s="17"/>
    </row>
    <row r="916" spans="5:5" ht="15.75" thickBot="1" x14ac:dyDescent="0.3">
      <c r="E916" s="17"/>
    </row>
    <row r="917" spans="5:5" ht="15.75" thickBot="1" x14ac:dyDescent="0.3">
      <c r="E917" s="17"/>
    </row>
    <row r="918" spans="5:5" ht="15.75" thickBot="1" x14ac:dyDescent="0.3">
      <c r="E918" s="17"/>
    </row>
    <row r="919" spans="5:5" ht="15.75" thickBot="1" x14ac:dyDescent="0.3">
      <c r="E919" s="17"/>
    </row>
    <row r="920" spans="5:5" ht="15.75" thickBot="1" x14ac:dyDescent="0.3">
      <c r="E920" s="17"/>
    </row>
    <row r="921" spans="5:5" ht="15.75" thickBot="1" x14ac:dyDescent="0.3">
      <c r="E921" s="17"/>
    </row>
    <row r="922" spans="5:5" ht="15.75" thickBot="1" x14ac:dyDescent="0.3">
      <c r="E922" s="17"/>
    </row>
    <row r="923" spans="5:5" ht="15.75" thickBot="1" x14ac:dyDescent="0.3">
      <c r="E923" s="17"/>
    </row>
    <row r="924" spans="5:5" ht="15.75" thickBot="1" x14ac:dyDescent="0.3">
      <c r="E924" s="17"/>
    </row>
    <row r="925" spans="5:5" ht="15.75" thickBot="1" x14ac:dyDescent="0.3">
      <c r="E925" s="17"/>
    </row>
    <row r="926" spans="5:5" ht="15.75" thickBot="1" x14ac:dyDescent="0.3">
      <c r="E926" s="17"/>
    </row>
    <row r="927" spans="5:5" ht="15.75" thickBot="1" x14ac:dyDescent="0.3">
      <c r="E927" s="17"/>
    </row>
    <row r="928" spans="5:5" ht="15.75" thickBot="1" x14ac:dyDescent="0.3">
      <c r="E928" s="17"/>
    </row>
    <row r="929" spans="5:5" ht="15.75" thickBot="1" x14ac:dyDescent="0.3">
      <c r="E929" s="17"/>
    </row>
    <row r="930" spans="5:5" ht="15.75" thickBot="1" x14ac:dyDescent="0.3">
      <c r="E930" s="17"/>
    </row>
    <row r="931" spans="5:5" ht="15.75" thickBot="1" x14ac:dyDescent="0.3">
      <c r="E931" s="17"/>
    </row>
    <row r="932" spans="5:5" ht="15.75" thickBot="1" x14ac:dyDescent="0.3">
      <c r="E932" s="17"/>
    </row>
    <row r="933" spans="5:5" ht="15.75" thickBot="1" x14ac:dyDescent="0.3">
      <c r="E933" s="17"/>
    </row>
    <row r="934" spans="5:5" ht="15.75" thickBot="1" x14ac:dyDescent="0.3">
      <c r="E934" s="17"/>
    </row>
    <row r="935" spans="5:5" ht="15.75" thickBot="1" x14ac:dyDescent="0.3">
      <c r="E935" s="17"/>
    </row>
    <row r="936" spans="5:5" ht="15.75" thickBot="1" x14ac:dyDescent="0.3">
      <c r="E936" s="17"/>
    </row>
    <row r="937" spans="5:5" ht="15.75" thickBot="1" x14ac:dyDescent="0.3">
      <c r="E937" s="17"/>
    </row>
    <row r="938" spans="5:5" ht="15.75" thickBot="1" x14ac:dyDescent="0.3">
      <c r="E938" s="17"/>
    </row>
    <row r="939" spans="5:5" ht="15.75" thickBot="1" x14ac:dyDescent="0.3">
      <c r="E939" s="17"/>
    </row>
    <row r="940" spans="5:5" ht="15.75" thickBot="1" x14ac:dyDescent="0.3">
      <c r="E940" s="17"/>
    </row>
    <row r="941" spans="5:5" ht="15.75" thickBot="1" x14ac:dyDescent="0.3">
      <c r="E941" s="17"/>
    </row>
    <row r="942" spans="5:5" ht="15.75" thickBot="1" x14ac:dyDescent="0.3">
      <c r="E942" s="17"/>
    </row>
    <row r="943" spans="5:5" ht="15.75" thickBot="1" x14ac:dyDescent="0.3">
      <c r="E943" s="17"/>
    </row>
    <row r="944" spans="5:5" ht="15.75" thickBot="1" x14ac:dyDescent="0.3">
      <c r="E944" s="17"/>
    </row>
    <row r="945" spans="5:5" ht="15.75" thickBot="1" x14ac:dyDescent="0.3">
      <c r="E945" s="17"/>
    </row>
    <row r="946" spans="5:5" ht="15.75" thickBot="1" x14ac:dyDescent="0.3">
      <c r="E946" s="17"/>
    </row>
    <row r="947" spans="5:5" ht="15.75" thickBot="1" x14ac:dyDescent="0.3">
      <c r="E947" s="17"/>
    </row>
    <row r="948" spans="5:5" ht="15.75" thickBot="1" x14ac:dyDescent="0.3">
      <c r="E948" s="17"/>
    </row>
    <row r="949" spans="5:5" ht="15.75" thickBot="1" x14ac:dyDescent="0.3">
      <c r="E949" s="17"/>
    </row>
    <row r="950" spans="5:5" ht="15.75" thickBot="1" x14ac:dyDescent="0.3">
      <c r="E950" s="17"/>
    </row>
    <row r="951" spans="5:5" ht="15.75" thickBot="1" x14ac:dyDescent="0.3">
      <c r="E951" s="17"/>
    </row>
    <row r="952" spans="5:5" ht="15.75" thickBot="1" x14ac:dyDescent="0.3">
      <c r="E952" s="17"/>
    </row>
    <row r="953" spans="5:5" ht="15.75" thickBot="1" x14ac:dyDescent="0.3">
      <c r="E953" s="17"/>
    </row>
    <row r="954" spans="5:5" ht="15.75" thickBot="1" x14ac:dyDescent="0.3">
      <c r="E954" s="17"/>
    </row>
    <row r="955" spans="5:5" ht="15.75" thickBot="1" x14ac:dyDescent="0.3">
      <c r="E955" s="17"/>
    </row>
    <row r="956" spans="5:5" ht="15.75" thickBot="1" x14ac:dyDescent="0.3">
      <c r="E956" s="17"/>
    </row>
    <row r="957" spans="5:5" ht="15.75" thickBot="1" x14ac:dyDescent="0.3">
      <c r="E957" s="17"/>
    </row>
    <row r="958" spans="5:5" ht="15.75" thickBot="1" x14ac:dyDescent="0.3">
      <c r="E958" s="17"/>
    </row>
    <row r="959" spans="5:5" ht="15.75" thickBot="1" x14ac:dyDescent="0.3">
      <c r="E959" s="17"/>
    </row>
    <row r="960" spans="5:5" ht="15.75" thickBot="1" x14ac:dyDescent="0.3">
      <c r="E960" s="17"/>
    </row>
    <row r="961" spans="5:5" ht="15.75" thickBot="1" x14ac:dyDescent="0.3">
      <c r="E961" s="17"/>
    </row>
    <row r="962" spans="5:5" ht="15.75" thickBot="1" x14ac:dyDescent="0.3">
      <c r="E962" s="17"/>
    </row>
    <row r="963" spans="5:5" ht="15.75" thickBot="1" x14ac:dyDescent="0.3">
      <c r="E963" s="17"/>
    </row>
    <row r="964" spans="5:5" ht="15.75" thickBot="1" x14ac:dyDescent="0.3">
      <c r="E964" s="17"/>
    </row>
    <row r="965" spans="5:5" ht="15.75" thickBot="1" x14ac:dyDescent="0.3">
      <c r="E965" s="17"/>
    </row>
    <row r="966" spans="5:5" ht="15.75" thickBot="1" x14ac:dyDescent="0.3">
      <c r="E966" s="17"/>
    </row>
    <row r="967" spans="5:5" ht="15.75" thickBot="1" x14ac:dyDescent="0.3">
      <c r="E967" s="17"/>
    </row>
    <row r="968" spans="5:5" ht="15.75" thickBot="1" x14ac:dyDescent="0.3">
      <c r="E968" s="17"/>
    </row>
    <row r="969" spans="5:5" ht="15.75" thickBot="1" x14ac:dyDescent="0.3">
      <c r="E969" s="17"/>
    </row>
    <row r="970" spans="5:5" ht="15.75" thickBot="1" x14ac:dyDescent="0.3">
      <c r="E970" s="17"/>
    </row>
    <row r="971" spans="5:5" ht="15.75" thickBot="1" x14ac:dyDescent="0.3">
      <c r="E971" s="17"/>
    </row>
    <row r="972" spans="5:5" ht="15.75" thickBot="1" x14ac:dyDescent="0.3">
      <c r="E972" s="17"/>
    </row>
    <row r="973" spans="5:5" ht="15.75" thickBot="1" x14ac:dyDescent="0.3">
      <c r="E973" s="17"/>
    </row>
    <row r="974" spans="5:5" ht="15.75" thickBot="1" x14ac:dyDescent="0.3">
      <c r="E974" s="17"/>
    </row>
    <row r="975" spans="5:5" ht="15.75" thickBot="1" x14ac:dyDescent="0.3">
      <c r="E975" s="17"/>
    </row>
    <row r="976" spans="5:5" ht="15.75" thickBot="1" x14ac:dyDescent="0.3">
      <c r="E976" s="17"/>
    </row>
    <row r="977" spans="5:5" ht="15.75" thickBot="1" x14ac:dyDescent="0.3">
      <c r="E977" s="17"/>
    </row>
    <row r="978" spans="5:5" ht="15.75" thickBot="1" x14ac:dyDescent="0.3">
      <c r="E978" s="17"/>
    </row>
    <row r="979" spans="5:5" ht="15.75" thickBot="1" x14ac:dyDescent="0.3">
      <c r="E979" s="17"/>
    </row>
    <row r="980" spans="5:5" ht="15.75" thickBot="1" x14ac:dyDescent="0.3">
      <c r="E980" s="17"/>
    </row>
    <row r="981" spans="5:5" ht="15.75" thickBot="1" x14ac:dyDescent="0.3">
      <c r="E981" s="17"/>
    </row>
    <row r="982" spans="5:5" ht="15.75" thickBot="1" x14ac:dyDescent="0.3">
      <c r="E982" s="17"/>
    </row>
    <row r="983" spans="5:5" ht="15.75" thickBot="1" x14ac:dyDescent="0.3">
      <c r="E983" s="17"/>
    </row>
    <row r="984" spans="5:5" ht="15.75" thickBot="1" x14ac:dyDescent="0.3">
      <c r="E984" s="17"/>
    </row>
    <row r="985" spans="5:5" ht="15.75" thickBot="1" x14ac:dyDescent="0.3">
      <c r="E985" s="17"/>
    </row>
    <row r="986" spans="5:5" ht="15.75" thickBot="1" x14ac:dyDescent="0.3">
      <c r="E986" s="17"/>
    </row>
    <row r="987" spans="5:5" ht="15.75" thickBot="1" x14ac:dyDescent="0.3">
      <c r="E987" s="17"/>
    </row>
    <row r="988" spans="5:5" ht="15.75" thickBot="1" x14ac:dyDescent="0.3">
      <c r="E988" s="17"/>
    </row>
    <row r="989" spans="5:5" ht="15.75" thickBot="1" x14ac:dyDescent="0.3">
      <c r="E989" s="17"/>
    </row>
    <row r="990" spans="5:5" ht="15.75" thickBot="1" x14ac:dyDescent="0.3">
      <c r="E990" s="17"/>
    </row>
    <row r="991" spans="5:5" ht="15.75" thickBot="1" x14ac:dyDescent="0.3">
      <c r="E991" s="17"/>
    </row>
    <row r="992" spans="5:5" ht="15.75" thickBot="1" x14ac:dyDescent="0.3">
      <c r="E992" s="17"/>
    </row>
    <row r="993" spans="5:5" ht="15.75" thickBot="1" x14ac:dyDescent="0.3">
      <c r="E993" s="17"/>
    </row>
    <row r="994" spans="5:5" ht="15.75" thickBot="1" x14ac:dyDescent="0.3">
      <c r="E994" s="17"/>
    </row>
    <row r="995" spans="5:5" ht="15.75" thickBot="1" x14ac:dyDescent="0.3">
      <c r="E995" s="17"/>
    </row>
    <row r="996" spans="5:5" ht="15.75" thickBot="1" x14ac:dyDescent="0.3">
      <c r="E996" s="17"/>
    </row>
    <row r="997" spans="5:5" ht="15.75" thickBot="1" x14ac:dyDescent="0.3">
      <c r="E997" s="17"/>
    </row>
    <row r="998" spans="5:5" ht="15.75" thickBot="1" x14ac:dyDescent="0.3">
      <c r="E998" s="17"/>
    </row>
    <row r="999" spans="5:5" ht="15.75" thickBot="1" x14ac:dyDescent="0.3">
      <c r="E999" s="17"/>
    </row>
    <row r="1000" spans="5:5" ht="15.75" thickBot="1" x14ac:dyDescent="0.3">
      <c r="E1000" s="17"/>
    </row>
  </sheetData>
  <sortState xmlns:xlrd2="http://schemas.microsoft.com/office/spreadsheetml/2017/richdata2" ref="A2:E1000">
    <sortCondition ref="A2:A1000"/>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0F845-7C6D-4770-94F7-8C4F23C5CC04}">
  <dimension ref="A1:E1000"/>
  <sheetViews>
    <sheetView tabSelected="1" workbookViewId="0">
      <selection activeCell="C2" sqref="C2"/>
    </sheetView>
  </sheetViews>
  <sheetFormatPr baseColWidth="10" defaultRowHeight="15" x14ac:dyDescent="0.25"/>
  <cols>
    <col min="1" max="1" width="11.42578125" style="4"/>
    <col min="2" max="2" width="19.140625" customWidth="1"/>
    <col min="3" max="3" width="20" style="4" customWidth="1"/>
    <col min="4" max="4" width="25.7109375" customWidth="1"/>
  </cols>
  <sheetData>
    <row r="1" spans="1:5" ht="15.75" thickBot="1" x14ac:dyDescent="0.3">
      <c r="A1" s="7" t="s">
        <v>1067</v>
      </c>
      <c r="B1" s="5" t="s">
        <v>0</v>
      </c>
      <c r="C1" s="5" t="s">
        <v>51</v>
      </c>
      <c r="D1" s="5" t="s">
        <v>52</v>
      </c>
      <c r="E1" s="16" t="s">
        <v>1016</v>
      </c>
    </row>
    <row r="2" spans="1:5" ht="90.75" thickBot="1" x14ac:dyDescent="0.3">
      <c r="A2" s="4">
        <f>_xlfn.XLOOKUP(E2,Orden_preguntas!$B:$B,Orden_preguntas!$A:$A)</f>
        <v>1</v>
      </c>
      <c r="B2" s="6" t="s">
        <v>205</v>
      </c>
      <c r="C2" s="8">
        <v>0.9</v>
      </c>
      <c r="D2" s="6" t="s">
        <v>255</v>
      </c>
      <c r="E2" s="17" t="s">
        <v>1027</v>
      </c>
    </row>
    <row r="3" spans="1:5" ht="90.75" thickBot="1" x14ac:dyDescent="0.3">
      <c r="A3" s="4">
        <f>_xlfn.XLOOKUP(E3,Orden_preguntas!$B:$B,Orden_preguntas!$A:$A)</f>
        <v>2</v>
      </c>
      <c r="B3" s="6" t="s">
        <v>210</v>
      </c>
      <c r="C3" s="8">
        <v>1</v>
      </c>
      <c r="D3" s="6" t="s">
        <v>260</v>
      </c>
      <c r="E3" s="17" t="s">
        <v>1032</v>
      </c>
    </row>
    <row r="4" spans="1:5" ht="105.75" thickBot="1" x14ac:dyDescent="0.3">
      <c r="A4" s="4">
        <f>_xlfn.XLOOKUP(E4,Orden_preguntas!$B:$B,Orden_preguntas!$A:$A)</f>
        <v>3</v>
      </c>
      <c r="B4" s="6" t="s">
        <v>207</v>
      </c>
      <c r="C4" s="8">
        <v>1</v>
      </c>
      <c r="D4" s="6" t="s">
        <v>257</v>
      </c>
      <c r="E4" s="17" t="s">
        <v>1022</v>
      </c>
    </row>
    <row r="5" spans="1:5" ht="105.75" thickBot="1" x14ac:dyDescent="0.3">
      <c r="A5" s="4">
        <f>_xlfn.XLOOKUP(E5,Orden_preguntas!$B:$B,Orden_preguntas!$A:$A)</f>
        <v>4</v>
      </c>
      <c r="B5" s="6" t="s">
        <v>214</v>
      </c>
      <c r="C5" s="8">
        <v>1</v>
      </c>
      <c r="D5" s="6" t="s">
        <v>264</v>
      </c>
      <c r="E5" s="17" t="s">
        <v>1036</v>
      </c>
    </row>
    <row r="6" spans="1:5" ht="105.75" thickBot="1" x14ac:dyDescent="0.3">
      <c r="A6" s="4">
        <f>_xlfn.XLOOKUP(E6,Orden_preguntas!$B:$B,Orden_preguntas!$A:$A)</f>
        <v>5</v>
      </c>
      <c r="B6" s="6" t="s">
        <v>216</v>
      </c>
      <c r="C6" s="8">
        <v>1</v>
      </c>
      <c r="D6" s="6" t="s">
        <v>266</v>
      </c>
      <c r="E6" s="17" t="s">
        <v>1028</v>
      </c>
    </row>
    <row r="7" spans="1:5" ht="90.75" thickBot="1" x14ac:dyDescent="0.3">
      <c r="A7" s="4">
        <f>_xlfn.XLOOKUP(E7,Orden_preguntas!$B:$B,Orden_preguntas!$A:$A)</f>
        <v>6</v>
      </c>
      <c r="B7" s="6" t="s">
        <v>213</v>
      </c>
      <c r="C7" s="8">
        <v>1</v>
      </c>
      <c r="D7" s="6" t="s">
        <v>263</v>
      </c>
      <c r="E7" s="17" t="s">
        <v>1024</v>
      </c>
    </row>
    <row r="8" spans="1:5" ht="120.75" thickBot="1" x14ac:dyDescent="0.3">
      <c r="A8" s="4">
        <f>_xlfn.XLOOKUP(E8,Orden_preguntas!$B:$B,Orden_preguntas!$A:$A)</f>
        <v>7</v>
      </c>
      <c r="B8" s="6" t="s">
        <v>204</v>
      </c>
      <c r="C8" s="8">
        <v>1</v>
      </c>
      <c r="D8" s="6" t="s">
        <v>254</v>
      </c>
      <c r="E8" s="17" t="s">
        <v>1030</v>
      </c>
    </row>
    <row r="9" spans="1:5" ht="105.75" thickBot="1" x14ac:dyDescent="0.3">
      <c r="A9" s="4">
        <f>_xlfn.XLOOKUP(E9,Orden_preguntas!$B:$B,Orden_preguntas!$A:$A)</f>
        <v>8</v>
      </c>
      <c r="B9" s="6" t="s">
        <v>211</v>
      </c>
      <c r="C9" s="8">
        <v>1</v>
      </c>
      <c r="D9" s="6" t="s">
        <v>261</v>
      </c>
      <c r="E9" s="17" t="s">
        <v>1020</v>
      </c>
    </row>
    <row r="10" spans="1:5" ht="90.75" thickBot="1" x14ac:dyDescent="0.3">
      <c r="A10" s="4">
        <f>_xlfn.XLOOKUP(E10,Orden_preguntas!$B:$B,Orden_preguntas!$A:$A)</f>
        <v>9</v>
      </c>
      <c r="B10" s="6" t="s">
        <v>230</v>
      </c>
      <c r="C10" s="8">
        <v>0.8</v>
      </c>
      <c r="D10" s="6" t="s">
        <v>280</v>
      </c>
      <c r="E10" s="17" t="s">
        <v>1034</v>
      </c>
    </row>
    <row r="11" spans="1:5" ht="90.75" thickBot="1" x14ac:dyDescent="0.3">
      <c r="A11" s="4">
        <f>_xlfn.XLOOKUP(E11,Orden_preguntas!$B:$B,Orden_preguntas!$A:$A)</f>
        <v>10</v>
      </c>
      <c r="B11" s="6" t="s">
        <v>206</v>
      </c>
      <c r="C11" s="8">
        <v>1</v>
      </c>
      <c r="D11" s="6" t="s">
        <v>256</v>
      </c>
      <c r="E11" s="17" t="s">
        <v>1035</v>
      </c>
    </row>
    <row r="12" spans="1:5" ht="135.75" thickBot="1" x14ac:dyDescent="0.3">
      <c r="A12" s="4">
        <f>_xlfn.XLOOKUP(E12,Orden_preguntas!$B:$B,Orden_preguntas!$A:$A)</f>
        <v>11</v>
      </c>
      <c r="B12" s="6" t="s">
        <v>221</v>
      </c>
      <c r="C12" s="8">
        <v>0.9</v>
      </c>
      <c r="D12" s="6" t="s">
        <v>271</v>
      </c>
      <c r="E12" s="17" t="s">
        <v>1017</v>
      </c>
    </row>
    <row r="13" spans="1:5" ht="120.75" thickBot="1" x14ac:dyDescent="0.3">
      <c r="A13" s="4">
        <f>_xlfn.XLOOKUP(E13,Orden_preguntas!$B:$B,Orden_preguntas!$A:$A)</f>
        <v>12</v>
      </c>
      <c r="B13" s="6" t="s">
        <v>212</v>
      </c>
      <c r="C13" s="8">
        <v>1</v>
      </c>
      <c r="D13" s="6" t="s">
        <v>262</v>
      </c>
      <c r="E13" s="17" t="s">
        <v>1023</v>
      </c>
    </row>
    <row r="14" spans="1:5" ht="135.75" thickBot="1" x14ac:dyDescent="0.3">
      <c r="A14" s="4">
        <f>_xlfn.XLOOKUP(E14,Orden_preguntas!$B:$B,Orden_preguntas!$A:$A)</f>
        <v>13</v>
      </c>
      <c r="B14" s="6" t="s">
        <v>209</v>
      </c>
      <c r="C14" s="8">
        <v>1</v>
      </c>
      <c r="D14" s="6" t="s">
        <v>259</v>
      </c>
      <c r="E14" s="17" t="s">
        <v>1033</v>
      </c>
    </row>
    <row r="15" spans="1:5" ht="105.75" thickBot="1" x14ac:dyDescent="0.3">
      <c r="A15" s="4">
        <f>_xlfn.XLOOKUP(E15,Orden_preguntas!$B:$B,Orden_preguntas!$A:$A)</f>
        <v>14</v>
      </c>
      <c r="B15" s="6" t="s">
        <v>217</v>
      </c>
      <c r="C15" s="8">
        <v>1</v>
      </c>
      <c r="D15" s="6" t="s">
        <v>267</v>
      </c>
      <c r="E15" s="17" t="s">
        <v>1018</v>
      </c>
    </row>
    <row r="16" spans="1:5" ht="150.75" thickBot="1" x14ac:dyDescent="0.3">
      <c r="A16" s="4">
        <f>_xlfn.XLOOKUP(E16,Orden_preguntas!$B:$B,Orden_preguntas!$A:$A)</f>
        <v>15</v>
      </c>
      <c r="B16" s="6" t="s">
        <v>208</v>
      </c>
      <c r="C16" s="8">
        <v>1</v>
      </c>
      <c r="D16" s="6" t="s">
        <v>258</v>
      </c>
      <c r="E16" s="17" t="s">
        <v>1025</v>
      </c>
    </row>
    <row r="17" spans="1:5" ht="105.75" thickBot="1" x14ac:dyDescent="0.3">
      <c r="A17" s="4">
        <f>_xlfn.XLOOKUP(E17,Orden_preguntas!$B:$B,Orden_preguntas!$A:$A)</f>
        <v>16</v>
      </c>
      <c r="B17" s="6" t="s">
        <v>220</v>
      </c>
      <c r="C17" s="8">
        <v>1</v>
      </c>
      <c r="D17" s="6" t="s">
        <v>270</v>
      </c>
      <c r="E17" s="17" t="s">
        <v>1019</v>
      </c>
    </row>
    <row r="18" spans="1:5" ht="75.75" thickBot="1" x14ac:dyDescent="0.3">
      <c r="A18" s="4">
        <f>_xlfn.XLOOKUP(E18,Orden_preguntas!$B:$B,Orden_preguntas!$A:$A)</f>
        <v>17</v>
      </c>
      <c r="B18" s="6" t="s">
        <v>218</v>
      </c>
      <c r="C18" s="8">
        <v>0.4</v>
      </c>
      <c r="D18" s="6" t="s">
        <v>268</v>
      </c>
      <c r="E18" s="17" t="s">
        <v>1026</v>
      </c>
    </row>
    <row r="19" spans="1:5" ht="75.75" thickBot="1" x14ac:dyDescent="0.3">
      <c r="A19" s="4">
        <f>_xlfn.XLOOKUP(E19,Orden_preguntas!$B:$B,Orden_preguntas!$A:$A)</f>
        <v>18</v>
      </c>
      <c r="B19" s="6" t="s">
        <v>215</v>
      </c>
      <c r="C19" s="8">
        <v>0.3</v>
      </c>
      <c r="D19" s="6" t="s">
        <v>265</v>
      </c>
      <c r="E19" s="17" t="s">
        <v>1031</v>
      </c>
    </row>
    <row r="20" spans="1:5" ht="135.75" thickBot="1" x14ac:dyDescent="0.3">
      <c r="A20" s="4">
        <f>_xlfn.XLOOKUP(E20,Orden_preguntas!$B:$B,Orden_preguntas!$A:$A)</f>
        <v>19</v>
      </c>
      <c r="B20" s="6" t="s">
        <v>219</v>
      </c>
      <c r="C20" s="8">
        <v>0.2</v>
      </c>
      <c r="D20" s="6" t="s">
        <v>269</v>
      </c>
      <c r="E20" s="17" t="s">
        <v>1029</v>
      </c>
    </row>
    <row r="21" spans="1:5" ht="135.75" thickBot="1" x14ac:dyDescent="0.3">
      <c r="A21" s="4">
        <f>_xlfn.XLOOKUP(E21,Orden_preguntas!$B:$B,Orden_preguntas!$A:$A)</f>
        <v>20</v>
      </c>
      <c r="B21" s="6" t="s">
        <v>203</v>
      </c>
      <c r="C21" s="8">
        <v>1</v>
      </c>
      <c r="D21" s="6" t="s">
        <v>253</v>
      </c>
      <c r="E21" s="17" t="s">
        <v>1021</v>
      </c>
    </row>
    <row r="22" spans="1:5" ht="120.75" thickBot="1" x14ac:dyDescent="0.3">
      <c r="A22" s="4">
        <f>_xlfn.XLOOKUP(E22,Orden_preguntas!$B:$B,Orden_preguntas!$A:$A)</f>
        <v>21</v>
      </c>
      <c r="B22" s="6" t="s">
        <v>225</v>
      </c>
      <c r="C22" s="8">
        <v>1</v>
      </c>
      <c r="D22" s="6" t="s">
        <v>275</v>
      </c>
      <c r="E22" s="17" t="s">
        <v>1038</v>
      </c>
    </row>
    <row r="23" spans="1:5" ht="150.75" thickBot="1" x14ac:dyDescent="0.3">
      <c r="A23" s="4">
        <f>_xlfn.XLOOKUP(E23,Orden_preguntas!$B:$B,Orden_preguntas!$A:$A)</f>
        <v>22</v>
      </c>
      <c r="B23" s="6" t="s">
        <v>223</v>
      </c>
      <c r="C23" s="8">
        <v>0.9</v>
      </c>
      <c r="D23" s="6" t="s">
        <v>273</v>
      </c>
      <c r="E23" s="17" t="s">
        <v>1048</v>
      </c>
    </row>
    <row r="24" spans="1:5" ht="120.75" thickBot="1" x14ac:dyDescent="0.3">
      <c r="A24" s="4">
        <f>_xlfn.XLOOKUP(E24,Orden_preguntas!$B:$B,Orden_preguntas!$A:$A)</f>
        <v>23</v>
      </c>
      <c r="B24" s="6" t="s">
        <v>237</v>
      </c>
      <c r="C24" s="8">
        <v>1</v>
      </c>
      <c r="D24" s="6" t="s">
        <v>287</v>
      </c>
      <c r="E24" s="17" t="s">
        <v>1056</v>
      </c>
    </row>
    <row r="25" spans="1:5" ht="135.75" thickBot="1" x14ac:dyDescent="0.3">
      <c r="A25" s="4">
        <f>_xlfn.XLOOKUP(E25,Orden_preguntas!$B:$B,Orden_preguntas!$A:$A)</f>
        <v>24</v>
      </c>
      <c r="B25" s="6" t="s">
        <v>222</v>
      </c>
      <c r="C25" s="8">
        <v>1</v>
      </c>
      <c r="D25" s="6" t="s">
        <v>272</v>
      </c>
      <c r="E25" s="17" t="s">
        <v>1037</v>
      </c>
    </row>
    <row r="26" spans="1:5" ht="120.75" thickBot="1" x14ac:dyDescent="0.3">
      <c r="A26" s="4">
        <f>_xlfn.XLOOKUP(E26,Orden_preguntas!$B:$B,Orden_preguntas!$A:$A)</f>
        <v>25</v>
      </c>
      <c r="B26" s="6" t="s">
        <v>228</v>
      </c>
      <c r="C26" s="8">
        <v>0.9</v>
      </c>
      <c r="D26" s="6" t="s">
        <v>278</v>
      </c>
      <c r="E26" s="17" t="s">
        <v>1039</v>
      </c>
    </row>
    <row r="27" spans="1:5" ht="135.75" thickBot="1" x14ac:dyDescent="0.3">
      <c r="A27" s="4">
        <f>_xlfn.XLOOKUP(E27,Orden_preguntas!$B:$B,Orden_preguntas!$A:$A)</f>
        <v>26</v>
      </c>
      <c r="B27" s="6" t="s">
        <v>239</v>
      </c>
      <c r="C27" s="8">
        <v>0.9</v>
      </c>
      <c r="D27" s="6" t="s">
        <v>289</v>
      </c>
      <c r="E27" s="17" t="s">
        <v>1041</v>
      </c>
    </row>
    <row r="28" spans="1:5" ht="105.75" thickBot="1" x14ac:dyDescent="0.3">
      <c r="A28" s="4">
        <f>_xlfn.XLOOKUP(E28,Orden_preguntas!$B:$B,Orden_preguntas!$A:$A)</f>
        <v>27</v>
      </c>
      <c r="B28" s="6" t="s">
        <v>226</v>
      </c>
      <c r="C28" s="8">
        <v>1</v>
      </c>
      <c r="D28" s="6" t="s">
        <v>276</v>
      </c>
      <c r="E28" s="17" t="s">
        <v>1040</v>
      </c>
    </row>
    <row r="29" spans="1:5" ht="105.75" thickBot="1" x14ac:dyDescent="0.3">
      <c r="A29" s="4">
        <f>_xlfn.XLOOKUP(E29,Orden_preguntas!$B:$B,Orden_preguntas!$A:$A)</f>
        <v>28</v>
      </c>
      <c r="B29" s="6" t="s">
        <v>231</v>
      </c>
      <c r="C29" s="8">
        <v>1</v>
      </c>
      <c r="D29" s="6" t="s">
        <v>281</v>
      </c>
      <c r="E29" s="17" t="s">
        <v>1042</v>
      </c>
    </row>
    <row r="30" spans="1:5" ht="135.75" thickBot="1" x14ac:dyDescent="0.3">
      <c r="A30" s="4">
        <f>_xlfn.XLOOKUP(E30,Orden_preguntas!$B:$B,Orden_preguntas!$A:$A)</f>
        <v>29</v>
      </c>
      <c r="B30" s="6" t="s">
        <v>235</v>
      </c>
      <c r="C30" s="8">
        <v>1</v>
      </c>
      <c r="D30" s="6" t="s">
        <v>285</v>
      </c>
      <c r="E30" s="17" t="s">
        <v>1043</v>
      </c>
    </row>
    <row r="31" spans="1:5" ht="150.75" thickBot="1" x14ac:dyDescent="0.3">
      <c r="A31" s="4">
        <f>_xlfn.XLOOKUP(E31,Orden_preguntas!$B:$B,Orden_preguntas!$A:$A)</f>
        <v>30</v>
      </c>
      <c r="B31" s="6" t="s">
        <v>224</v>
      </c>
      <c r="C31" s="8">
        <v>1</v>
      </c>
      <c r="D31" s="6" t="s">
        <v>274</v>
      </c>
      <c r="E31" s="17" t="s">
        <v>1045</v>
      </c>
    </row>
    <row r="32" spans="1:5" ht="150.75" thickBot="1" x14ac:dyDescent="0.3">
      <c r="A32" s="4">
        <f>_xlfn.XLOOKUP(E32,Orden_preguntas!$B:$B,Orden_preguntas!$A:$A)</f>
        <v>31</v>
      </c>
      <c r="B32" s="6" t="s">
        <v>227</v>
      </c>
      <c r="C32" s="8">
        <v>1</v>
      </c>
      <c r="D32" s="6" t="s">
        <v>277</v>
      </c>
      <c r="E32" s="17" t="s">
        <v>1051</v>
      </c>
    </row>
    <row r="33" spans="1:5" ht="180.75" thickBot="1" x14ac:dyDescent="0.3">
      <c r="A33" s="4">
        <f>_xlfn.XLOOKUP(E33,Orden_preguntas!$B:$B,Orden_preguntas!$A:$A)</f>
        <v>32</v>
      </c>
      <c r="B33" s="6" t="s">
        <v>232</v>
      </c>
      <c r="C33" s="8">
        <v>1</v>
      </c>
      <c r="D33" s="6" t="s">
        <v>282</v>
      </c>
      <c r="E33" s="17" t="s">
        <v>1047</v>
      </c>
    </row>
    <row r="34" spans="1:5" ht="165.75" thickBot="1" x14ac:dyDescent="0.3">
      <c r="A34" s="4">
        <f>_xlfn.XLOOKUP(E34,Orden_preguntas!$B:$B,Orden_preguntas!$A:$A)</f>
        <v>33</v>
      </c>
      <c r="B34" s="6" t="s">
        <v>238</v>
      </c>
      <c r="C34" s="8">
        <v>0.9</v>
      </c>
      <c r="D34" s="6" t="s">
        <v>288</v>
      </c>
      <c r="E34" s="17" t="s">
        <v>1053</v>
      </c>
    </row>
    <row r="35" spans="1:5" ht="120.75" thickBot="1" x14ac:dyDescent="0.3">
      <c r="A35" s="4">
        <f>_xlfn.XLOOKUP(E35,Orden_preguntas!$B:$B,Orden_preguntas!$A:$A)</f>
        <v>34</v>
      </c>
      <c r="B35" s="6" t="s">
        <v>229</v>
      </c>
      <c r="C35" s="8">
        <v>0.3</v>
      </c>
      <c r="D35" s="6" t="s">
        <v>279</v>
      </c>
      <c r="E35" s="17" t="s">
        <v>1057</v>
      </c>
    </row>
    <row r="36" spans="1:5" ht="165.75" thickBot="1" x14ac:dyDescent="0.3">
      <c r="A36" s="4">
        <f>_xlfn.XLOOKUP(E36,Orden_preguntas!$B:$B,Orden_preguntas!$A:$A)</f>
        <v>35</v>
      </c>
      <c r="B36" s="6" t="s">
        <v>240</v>
      </c>
      <c r="C36" s="8">
        <v>1</v>
      </c>
      <c r="D36" s="6" t="s">
        <v>290</v>
      </c>
      <c r="E36" s="17" t="s">
        <v>1046</v>
      </c>
    </row>
    <row r="37" spans="1:5" ht="135.75" thickBot="1" x14ac:dyDescent="0.3">
      <c r="A37" s="4">
        <f>_xlfn.XLOOKUP(E37,Orden_preguntas!$B:$B,Orden_preguntas!$A:$A)</f>
        <v>36</v>
      </c>
      <c r="B37" s="6" t="s">
        <v>234</v>
      </c>
      <c r="C37" s="8">
        <v>1</v>
      </c>
      <c r="D37" s="6" t="s">
        <v>284</v>
      </c>
      <c r="E37" s="17" t="s">
        <v>1049</v>
      </c>
    </row>
    <row r="38" spans="1:5" ht="135.75" thickBot="1" x14ac:dyDescent="0.3">
      <c r="A38" s="4">
        <f>_xlfn.XLOOKUP(E38,Orden_preguntas!$B:$B,Orden_preguntas!$A:$A)</f>
        <v>37</v>
      </c>
      <c r="B38" s="6" t="s">
        <v>236</v>
      </c>
      <c r="C38" s="8">
        <v>1</v>
      </c>
      <c r="D38" s="6" t="s">
        <v>286</v>
      </c>
      <c r="E38" s="17" t="s">
        <v>1052</v>
      </c>
    </row>
    <row r="39" spans="1:5" ht="105.75" thickBot="1" x14ac:dyDescent="0.3">
      <c r="A39" s="4">
        <f>_xlfn.XLOOKUP(E39,Orden_preguntas!$B:$B,Orden_preguntas!$A:$A)</f>
        <v>38</v>
      </c>
      <c r="B39" s="6" t="s">
        <v>233</v>
      </c>
      <c r="C39" s="8">
        <v>1</v>
      </c>
      <c r="D39" s="6" t="s">
        <v>283</v>
      </c>
      <c r="E39" s="17" t="s">
        <v>1044</v>
      </c>
    </row>
    <row r="40" spans="1:5" ht="165.75" thickBot="1" x14ac:dyDescent="0.3">
      <c r="A40" s="4">
        <f>_xlfn.XLOOKUP(E40,Orden_preguntas!$B:$B,Orden_preguntas!$A:$A)</f>
        <v>39</v>
      </c>
      <c r="B40" s="6" t="s">
        <v>241</v>
      </c>
      <c r="C40" s="8">
        <v>1</v>
      </c>
      <c r="D40" s="6" t="s">
        <v>291</v>
      </c>
      <c r="E40" s="17" t="s">
        <v>1055</v>
      </c>
    </row>
    <row r="41" spans="1:5" ht="165.75" thickBot="1" x14ac:dyDescent="0.3">
      <c r="A41" s="4">
        <f>_xlfn.XLOOKUP(E41,Orden_preguntas!$B:$B,Orden_preguntas!$A:$A)</f>
        <v>40</v>
      </c>
      <c r="B41" s="6" t="s">
        <v>242</v>
      </c>
      <c r="C41" s="8">
        <v>1</v>
      </c>
      <c r="D41" s="6" t="s">
        <v>292</v>
      </c>
      <c r="E41" s="17" t="s">
        <v>1050</v>
      </c>
    </row>
    <row r="42" spans="1:5" ht="225.75" thickBot="1" x14ac:dyDescent="0.3">
      <c r="A42" s="4">
        <f>_xlfn.XLOOKUP(E42,Orden_preguntas!$B:$B,Orden_preguntas!$A:$A)</f>
        <v>41</v>
      </c>
      <c r="B42" s="6" t="s">
        <v>246</v>
      </c>
      <c r="C42" s="8">
        <v>1</v>
      </c>
      <c r="D42" s="6" t="s">
        <v>296</v>
      </c>
      <c r="E42" s="17" t="s">
        <v>1054</v>
      </c>
    </row>
    <row r="43" spans="1:5" ht="165.75" thickBot="1" x14ac:dyDescent="0.3">
      <c r="A43" s="4">
        <f>_xlfn.XLOOKUP(E43,Orden_preguntas!$B:$B,Orden_preguntas!$A:$A)</f>
        <v>42</v>
      </c>
      <c r="B43" s="6" t="s">
        <v>243</v>
      </c>
      <c r="C43" s="8">
        <v>1</v>
      </c>
      <c r="D43" s="6" t="s">
        <v>293</v>
      </c>
      <c r="E43" s="17" t="s">
        <v>1065</v>
      </c>
    </row>
    <row r="44" spans="1:5" ht="165.75" thickBot="1" x14ac:dyDescent="0.3">
      <c r="A44" s="4">
        <f>_xlfn.XLOOKUP(E44,Orden_preguntas!$B:$B,Orden_preguntas!$A:$A)</f>
        <v>43</v>
      </c>
      <c r="B44" s="6" t="s">
        <v>245</v>
      </c>
      <c r="C44" s="8">
        <v>1</v>
      </c>
      <c r="D44" s="6" t="s">
        <v>295</v>
      </c>
      <c r="E44" s="17" t="s">
        <v>1059</v>
      </c>
    </row>
    <row r="45" spans="1:5" ht="135.75" thickBot="1" x14ac:dyDescent="0.3">
      <c r="A45" s="4">
        <f>_xlfn.XLOOKUP(E45,Orden_preguntas!$B:$B,Orden_preguntas!$A:$A)</f>
        <v>44</v>
      </c>
      <c r="B45" s="6" t="s">
        <v>248</v>
      </c>
      <c r="C45" s="8">
        <v>1</v>
      </c>
      <c r="D45" s="6" t="s">
        <v>298</v>
      </c>
      <c r="E45" s="17" t="s">
        <v>1058</v>
      </c>
    </row>
    <row r="46" spans="1:5" ht="150.75" thickBot="1" x14ac:dyDescent="0.3">
      <c r="A46" s="4">
        <f>_xlfn.XLOOKUP(E46,Orden_preguntas!$B:$B,Orden_preguntas!$A:$A)</f>
        <v>45</v>
      </c>
      <c r="B46" s="6" t="s">
        <v>244</v>
      </c>
      <c r="C46" s="8">
        <v>1</v>
      </c>
      <c r="D46" s="6" t="s">
        <v>294</v>
      </c>
      <c r="E46" s="17" t="s">
        <v>1061</v>
      </c>
    </row>
    <row r="47" spans="1:5" ht="105.75" thickBot="1" x14ac:dyDescent="0.3">
      <c r="A47" s="4">
        <f>_xlfn.XLOOKUP(E47,Orden_preguntas!$B:$B,Orden_preguntas!$A:$A)</f>
        <v>46</v>
      </c>
      <c r="B47" s="6" t="s">
        <v>250</v>
      </c>
      <c r="C47" s="8">
        <v>1</v>
      </c>
      <c r="D47" s="6" t="s">
        <v>300</v>
      </c>
      <c r="E47" s="17" t="s">
        <v>1060</v>
      </c>
    </row>
    <row r="48" spans="1:5" ht="135.75" thickBot="1" x14ac:dyDescent="0.3">
      <c r="A48" s="4">
        <f>_xlfn.XLOOKUP(E48,Orden_preguntas!$B:$B,Orden_preguntas!$A:$A)</f>
        <v>47</v>
      </c>
      <c r="B48" s="6" t="s">
        <v>247</v>
      </c>
      <c r="C48" s="8">
        <v>0.7</v>
      </c>
      <c r="D48" s="6" t="s">
        <v>297</v>
      </c>
      <c r="E48" s="17" t="s">
        <v>1062</v>
      </c>
    </row>
    <row r="49" spans="1:5" ht="165.75" thickBot="1" x14ac:dyDescent="0.3">
      <c r="A49" s="4">
        <f>_xlfn.XLOOKUP(E49,Orden_preguntas!$B:$B,Orden_preguntas!$A:$A)</f>
        <v>48</v>
      </c>
      <c r="B49" s="6" t="s">
        <v>252</v>
      </c>
      <c r="C49" s="8">
        <v>0.9</v>
      </c>
      <c r="D49" s="6" t="s">
        <v>302</v>
      </c>
      <c r="E49" s="17" t="s">
        <v>1066</v>
      </c>
    </row>
    <row r="50" spans="1:5" ht="195.75" thickBot="1" x14ac:dyDescent="0.3">
      <c r="A50" s="4">
        <f>_xlfn.XLOOKUP(E50,Orden_preguntas!$B:$B,Orden_preguntas!$A:$A)</f>
        <v>49</v>
      </c>
      <c r="B50" s="6" t="s">
        <v>249</v>
      </c>
      <c r="C50" s="8">
        <v>1</v>
      </c>
      <c r="D50" s="6" t="s">
        <v>299</v>
      </c>
      <c r="E50" s="17" t="s">
        <v>1063</v>
      </c>
    </row>
    <row r="51" spans="1:5" ht="210.75" thickBot="1" x14ac:dyDescent="0.3">
      <c r="A51" s="4">
        <f>_xlfn.XLOOKUP(E51,Orden_preguntas!$B:$B,Orden_preguntas!$A:$A)</f>
        <v>50</v>
      </c>
      <c r="B51" s="6" t="s">
        <v>251</v>
      </c>
      <c r="C51" s="8">
        <v>0.6</v>
      </c>
      <c r="D51" s="6" t="s">
        <v>301</v>
      </c>
      <c r="E51" s="17" t="s">
        <v>1064</v>
      </c>
    </row>
    <row r="52" spans="1:5" ht="15.75" thickBot="1" x14ac:dyDescent="0.3">
      <c r="E52" s="17"/>
    </row>
    <row r="53" spans="1:5" ht="15.75" thickBot="1" x14ac:dyDescent="0.3">
      <c r="E53" s="17"/>
    </row>
    <row r="54" spans="1:5" ht="15.75" thickBot="1" x14ac:dyDescent="0.3">
      <c r="E54" s="17"/>
    </row>
    <row r="55" spans="1:5" ht="15.75" thickBot="1" x14ac:dyDescent="0.3">
      <c r="E55" s="17"/>
    </row>
    <row r="56" spans="1:5" ht="15.75" thickBot="1" x14ac:dyDescent="0.3">
      <c r="E56" s="17"/>
    </row>
    <row r="57" spans="1:5" ht="15.75" thickBot="1" x14ac:dyDescent="0.3">
      <c r="E57" s="17"/>
    </row>
    <row r="58" spans="1:5" ht="15.75" thickBot="1" x14ac:dyDescent="0.3">
      <c r="E58" s="17"/>
    </row>
    <row r="59" spans="1:5" ht="15.75" thickBot="1" x14ac:dyDescent="0.3">
      <c r="E59" s="17"/>
    </row>
    <row r="60" spans="1:5" ht="15.75" thickBot="1" x14ac:dyDescent="0.3">
      <c r="E60" s="17"/>
    </row>
    <row r="61" spans="1:5" ht="15.75" thickBot="1" x14ac:dyDescent="0.3">
      <c r="E61" s="17"/>
    </row>
    <row r="62" spans="1:5" ht="15.75" thickBot="1" x14ac:dyDescent="0.3">
      <c r="E62" s="17"/>
    </row>
    <row r="63" spans="1:5" ht="15.75" thickBot="1" x14ac:dyDescent="0.3">
      <c r="E63" s="17"/>
    </row>
    <row r="64" spans="1:5" ht="15.75" thickBot="1" x14ac:dyDescent="0.3">
      <c r="E64" s="17"/>
    </row>
    <row r="65" spans="5:5" ht="15.75" thickBot="1" x14ac:dyDescent="0.3">
      <c r="E65" s="17"/>
    </row>
    <row r="66" spans="5:5" ht="15.75" thickBot="1" x14ac:dyDescent="0.3">
      <c r="E66" s="17"/>
    </row>
    <row r="67" spans="5:5" ht="15.75" thickBot="1" x14ac:dyDescent="0.3">
      <c r="E67" s="17"/>
    </row>
    <row r="68" spans="5:5" ht="15.75" thickBot="1" x14ac:dyDescent="0.3">
      <c r="E68" s="17"/>
    </row>
    <row r="69" spans="5:5" ht="15.75" thickBot="1" x14ac:dyDescent="0.3">
      <c r="E69" s="17"/>
    </row>
    <row r="70" spans="5:5" ht="15.75" thickBot="1" x14ac:dyDescent="0.3">
      <c r="E70" s="17"/>
    </row>
    <row r="71" spans="5:5" ht="15.75" thickBot="1" x14ac:dyDescent="0.3">
      <c r="E71" s="17"/>
    </row>
    <row r="72" spans="5:5" ht="15.75" thickBot="1" x14ac:dyDescent="0.3">
      <c r="E72" s="17"/>
    </row>
    <row r="73" spans="5:5" ht="15.75" thickBot="1" x14ac:dyDescent="0.3">
      <c r="E73" s="17"/>
    </row>
    <row r="74" spans="5:5" ht="15.75" thickBot="1" x14ac:dyDescent="0.3">
      <c r="E74" s="17"/>
    </row>
    <row r="75" spans="5:5" ht="15.75" thickBot="1" x14ac:dyDescent="0.3">
      <c r="E75" s="17"/>
    </row>
    <row r="76" spans="5:5" ht="15.75" thickBot="1" x14ac:dyDescent="0.3">
      <c r="E76" s="17"/>
    </row>
    <row r="77" spans="5:5" ht="15.75" thickBot="1" x14ac:dyDescent="0.3">
      <c r="E77" s="17"/>
    </row>
    <row r="78" spans="5:5" ht="15.75" thickBot="1" x14ac:dyDescent="0.3">
      <c r="E78" s="17"/>
    </row>
    <row r="79" spans="5:5" ht="15.75" thickBot="1" x14ac:dyDescent="0.3">
      <c r="E79" s="17"/>
    </row>
    <row r="80" spans="5:5" ht="15.75" thickBot="1" x14ac:dyDescent="0.3">
      <c r="E80" s="17"/>
    </row>
    <row r="81" spans="5:5" ht="15.75" thickBot="1" x14ac:dyDescent="0.3">
      <c r="E81" s="17"/>
    </row>
    <row r="82" spans="5:5" ht="15.75" thickBot="1" x14ac:dyDescent="0.3">
      <c r="E82" s="17"/>
    </row>
    <row r="83" spans="5:5" ht="15.75" thickBot="1" x14ac:dyDescent="0.3">
      <c r="E83" s="17"/>
    </row>
    <row r="84" spans="5:5" ht="15.75" thickBot="1" x14ac:dyDescent="0.3">
      <c r="E84" s="17"/>
    </row>
    <row r="85" spans="5:5" ht="15.75" thickBot="1" x14ac:dyDescent="0.3">
      <c r="E85" s="17"/>
    </row>
    <row r="86" spans="5:5" ht="15.75" thickBot="1" x14ac:dyDescent="0.3">
      <c r="E86" s="17"/>
    </row>
    <row r="87" spans="5:5" ht="15.75" thickBot="1" x14ac:dyDescent="0.3">
      <c r="E87" s="17"/>
    </row>
    <row r="88" spans="5:5" ht="15.75" thickBot="1" x14ac:dyDescent="0.3">
      <c r="E88" s="17"/>
    </row>
    <row r="89" spans="5:5" ht="15.75" thickBot="1" x14ac:dyDescent="0.3">
      <c r="E89" s="17"/>
    </row>
    <row r="90" spans="5:5" ht="15.75" thickBot="1" x14ac:dyDescent="0.3">
      <c r="E90" s="17"/>
    </row>
    <row r="91" spans="5:5" ht="15.75" thickBot="1" x14ac:dyDescent="0.3">
      <c r="E91" s="17"/>
    </row>
    <row r="92" spans="5:5" ht="15.75" thickBot="1" x14ac:dyDescent="0.3">
      <c r="E92" s="17"/>
    </row>
    <row r="93" spans="5:5" ht="15.75" thickBot="1" x14ac:dyDescent="0.3">
      <c r="E93" s="17"/>
    </row>
    <row r="94" spans="5:5" ht="15.75" thickBot="1" x14ac:dyDescent="0.3">
      <c r="E94" s="17"/>
    </row>
    <row r="95" spans="5:5" ht="15.75" thickBot="1" x14ac:dyDescent="0.3">
      <c r="E95" s="17"/>
    </row>
    <row r="96" spans="5:5" ht="15.75" thickBot="1" x14ac:dyDescent="0.3">
      <c r="E96" s="17"/>
    </row>
    <row r="97" spans="5:5" ht="15.75" thickBot="1" x14ac:dyDescent="0.3">
      <c r="E97" s="17"/>
    </row>
    <row r="98" spans="5:5" ht="15.75" thickBot="1" x14ac:dyDescent="0.3">
      <c r="E98" s="17"/>
    </row>
    <row r="99" spans="5:5" ht="15.75" thickBot="1" x14ac:dyDescent="0.3">
      <c r="E99" s="17"/>
    </row>
    <row r="100" spans="5:5" ht="15.75" thickBot="1" x14ac:dyDescent="0.3">
      <c r="E100" s="17"/>
    </row>
    <row r="101" spans="5:5" ht="15.75" thickBot="1" x14ac:dyDescent="0.3">
      <c r="E101" s="17"/>
    </row>
    <row r="102" spans="5:5" ht="15.75" thickBot="1" x14ac:dyDescent="0.3">
      <c r="E102" s="17"/>
    </row>
    <row r="103" spans="5:5" ht="15.75" thickBot="1" x14ac:dyDescent="0.3">
      <c r="E103" s="17"/>
    </row>
    <row r="104" spans="5:5" ht="15.75" thickBot="1" x14ac:dyDescent="0.3">
      <c r="E104" s="17"/>
    </row>
    <row r="105" spans="5:5" ht="15.75" thickBot="1" x14ac:dyDescent="0.3">
      <c r="E105" s="17"/>
    </row>
    <row r="106" spans="5:5" ht="15.75" thickBot="1" x14ac:dyDescent="0.3">
      <c r="E106" s="17"/>
    </row>
    <row r="107" spans="5:5" ht="15.75" thickBot="1" x14ac:dyDescent="0.3">
      <c r="E107" s="17"/>
    </row>
    <row r="108" spans="5:5" ht="15.75" thickBot="1" x14ac:dyDescent="0.3">
      <c r="E108" s="17"/>
    </row>
    <row r="109" spans="5:5" ht="15.75" thickBot="1" x14ac:dyDescent="0.3">
      <c r="E109" s="17"/>
    </row>
    <row r="110" spans="5:5" ht="15.75" thickBot="1" x14ac:dyDescent="0.3">
      <c r="E110" s="17"/>
    </row>
    <row r="111" spans="5:5" ht="15.75" thickBot="1" x14ac:dyDescent="0.3">
      <c r="E111" s="17"/>
    </row>
    <row r="112" spans="5:5" ht="15.75" thickBot="1" x14ac:dyDescent="0.3">
      <c r="E112" s="17"/>
    </row>
    <row r="113" spans="5:5" ht="15.75" thickBot="1" x14ac:dyDescent="0.3">
      <c r="E113" s="17"/>
    </row>
    <row r="114" spans="5:5" ht="15.75" thickBot="1" x14ac:dyDescent="0.3">
      <c r="E114" s="17"/>
    </row>
    <row r="115" spans="5:5" ht="15.75" thickBot="1" x14ac:dyDescent="0.3">
      <c r="E115" s="17"/>
    </row>
    <row r="116" spans="5:5" ht="15.75" thickBot="1" x14ac:dyDescent="0.3">
      <c r="E116" s="17"/>
    </row>
    <row r="117" spans="5:5" ht="15.75" thickBot="1" x14ac:dyDescent="0.3">
      <c r="E117" s="17"/>
    </row>
    <row r="118" spans="5:5" ht="15.75" thickBot="1" x14ac:dyDescent="0.3">
      <c r="E118" s="17"/>
    </row>
    <row r="119" spans="5:5" ht="15.75" thickBot="1" x14ac:dyDescent="0.3">
      <c r="E119" s="17"/>
    </row>
    <row r="120" spans="5:5" ht="15.75" thickBot="1" x14ac:dyDescent="0.3">
      <c r="E120" s="17"/>
    </row>
    <row r="121" spans="5:5" ht="15.75" thickBot="1" x14ac:dyDescent="0.3">
      <c r="E121" s="17"/>
    </row>
    <row r="122" spans="5:5" ht="15.75" thickBot="1" x14ac:dyDescent="0.3">
      <c r="E122" s="17"/>
    </row>
    <row r="123" spans="5:5" ht="15.75" thickBot="1" x14ac:dyDescent="0.3">
      <c r="E123" s="17"/>
    </row>
    <row r="124" spans="5:5" ht="15.75" thickBot="1" x14ac:dyDescent="0.3">
      <c r="E124" s="17"/>
    </row>
    <row r="125" spans="5:5" ht="15.75" thickBot="1" x14ac:dyDescent="0.3">
      <c r="E125" s="17"/>
    </row>
    <row r="126" spans="5:5" ht="15.75" thickBot="1" x14ac:dyDescent="0.3">
      <c r="E126" s="17"/>
    </row>
    <row r="127" spans="5:5" ht="15.75" thickBot="1" x14ac:dyDescent="0.3">
      <c r="E127" s="17"/>
    </row>
    <row r="128" spans="5:5" ht="15.75" thickBot="1" x14ac:dyDescent="0.3">
      <c r="E128" s="17"/>
    </row>
    <row r="129" spans="5:5" ht="15.75" thickBot="1" x14ac:dyDescent="0.3">
      <c r="E129" s="17"/>
    </row>
    <row r="130" spans="5:5" ht="15.75" thickBot="1" x14ac:dyDescent="0.3">
      <c r="E130" s="17"/>
    </row>
    <row r="131" spans="5:5" ht="15.75" thickBot="1" x14ac:dyDescent="0.3">
      <c r="E131" s="17"/>
    </row>
    <row r="132" spans="5:5" ht="15.75" thickBot="1" x14ac:dyDescent="0.3">
      <c r="E132" s="17"/>
    </row>
    <row r="133" spans="5:5" ht="15.75" thickBot="1" x14ac:dyDescent="0.3">
      <c r="E133" s="17"/>
    </row>
    <row r="134" spans="5:5" ht="15.75" thickBot="1" x14ac:dyDescent="0.3">
      <c r="E134" s="17"/>
    </row>
    <row r="135" spans="5:5" ht="15.75" thickBot="1" x14ac:dyDescent="0.3">
      <c r="E135" s="17"/>
    </row>
    <row r="136" spans="5:5" ht="15.75" thickBot="1" x14ac:dyDescent="0.3">
      <c r="E136" s="17"/>
    </row>
    <row r="137" spans="5:5" ht="15.75" thickBot="1" x14ac:dyDescent="0.3">
      <c r="E137" s="17"/>
    </row>
    <row r="138" spans="5:5" ht="15.75" thickBot="1" x14ac:dyDescent="0.3">
      <c r="E138" s="17"/>
    </row>
    <row r="139" spans="5:5" ht="15.75" thickBot="1" x14ac:dyDescent="0.3">
      <c r="E139" s="17"/>
    </row>
    <row r="140" spans="5:5" ht="15.75" thickBot="1" x14ac:dyDescent="0.3">
      <c r="E140" s="17"/>
    </row>
    <row r="141" spans="5:5" ht="15.75" thickBot="1" x14ac:dyDescent="0.3">
      <c r="E141" s="17"/>
    </row>
    <row r="142" spans="5:5" ht="15.75" thickBot="1" x14ac:dyDescent="0.3">
      <c r="E142" s="17"/>
    </row>
    <row r="143" spans="5:5" ht="15.75" thickBot="1" x14ac:dyDescent="0.3">
      <c r="E143" s="17"/>
    </row>
    <row r="144" spans="5:5" ht="15.75" thickBot="1" x14ac:dyDescent="0.3">
      <c r="E144" s="17"/>
    </row>
    <row r="145" spans="5:5" ht="15.75" thickBot="1" x14ac:dyDescent="0.3">
      <c r="E145" s="17"/>
    </row>
    <row r="146" spans="5:5" ht="15.75" thickBot="1" x14ac:dyDescent="0.3">
      <c r="E146" s="17"/>
    </row>
    <row r="147" spans="5:5" ht="15.75" thickBot="1" x14ac:dyDescent="0.3">
      <c r="E147" s="17"/>
    </row>
    <row r="148" spans="5:5" ht="15.75" thickBot="1" x14ac:dyDescent="0.3">
      <c r="E148" s="17"/>
    </row>
    <row r="149" spans="5:5" ht="15.75" thickBot="1" x14ac:dyDescent="0.3">
      <c r="E149" s="17"/>
    </row>
    <row r="150" spans="5:5" ht="15.75" thickBot="1" x14ac:dyDescent="0.3">
      <c r="E150" s="17"/>
    </row>
    <row r="151" spans="5:5" ht="15.75" thickBot="1" x14ac:dyDescent="0.3">
      <c r="E151" s="17"/>
    </row>
    <row r="152" spans="5:5" ht="15.75" thickBot="1" x14ac:dyDescent="0.3">
      <c r="E152" s="17"/>
    </row>
    <row r="153" spans="5:5" ht="15.75" thickBot="1" x14ac:dyDescent="0.3">
      <c r="E153" s="17"/>
    </row>
    <row r="154" spans="5:5" ht="15.75" thickBot="1" x14ac:dyDescent="0.3">
      <c r="E154" s="17"/>
    </row>
    <row r="155" spans="5:5" ht="15.75" thickBot="1" x14ac:dyDescent="0.3">
      <c r="E155" s="17"/>
    </row>
    <row r="156" spans="5:5" ht="15.75" thickBot="1" x14ac:dyDescent="0.3">
      <c r="E156" s="17"/>
    </row>
    <row r="157" spans="5:5" ht="15.75" thickBot="1" x14ac:dyDescent="0.3">
      <c r="E157" s="17"/>
    </row>
    <row r="158" spans="5:5" ht="15.75" thickBot="1" x14ac:dyDescent="0.3">
      <c r="E158" s="17"/>
    </row>
    <row r="159" spans="5:5" ht="15.75" thickBot="1" x14ac:dyDescent="0.3">
      <c r="E159" s="17"/>
    </row>
    <row r="160" spans="5:5" ht="15.75" thickBot="1" x14ac:dyDescent="0.3">
      <c r="E160" s="17"/>
    </row>
    <row r="161" spans="5:5" ht="15.75" thickBot="1" x14ac:dyDescent="0.3">
      <c r="E161" s="17"/>
    </row>
    <row r="162" spans="5:5" ht="15.75" thickBot="1" x14ac:dyDescent="0.3">
      <c r="E162" s="17"/>
    </row>
    <row r="163" spans="5:5" ht="15.75" thickBot="1" x14ac:dyDescent="0.3">
      <c r="E163" s="17"/>
    </row>
    <row r="164" spans="5:5" ht="15.75" thickBot="1" x14ac:dyDescent="0.3">
      <c r="E164" s="17"/>
    </row>
    <row r="165" spans="5:5" ht="15.75" thickBot="1" x14ac:dyDescent="0.3">
      <c r="E165" s="17"/>
    </row>
    <row r="166" spans="5:5" ht="15.75" thickBot="1" x14ac:dyDescent="0.3">
      <c r="E166" s="17"/>
    </row>
    <row r="167" spans="5:5" ht="15.75" thickBot="1" x14ac:dyDescent="0.3">
      <c r="E167" s="17"/>
    </row>
    <row r="168" spans="5:5" ht="15.75" thickBot="1" x14ac:dyDescent="0.3">
      <c r="E168" s="17"/>
    </row>
    <row r="169" spans="5:5" ht="15.75" thickBot="1" x14ac:dyDescent="0.3">
      <c r="E169" s="17"/>
    </row>
    <row r="170" spans="5:5" ht="15.75" thickBot="1" x14ac:dyDescent="0.3">
      <c r="E170" s="17"/>
    </row>
    <row r="171" spans="5:5" ht="15.75" thickBot="1" x14ac:dyDescent="0.3">
      <c r="E171" s="17"/>
    </row>
    <row r="172" spans="5:5" ht="15.75" thickBot="1" x14ac:dyDescent="0.3">
      <c r="E172" s="17"/>
    </row>
    <row r="173" spans="5:5" ht="15.75" thickBot="1" x14ac:dyDescent="0.3">
      <c r="E173" s="17"/>
    </row>
    <row r="174" spans="5:5" ht="15.75" thickBot="1" x14ac:dyDescent="0.3">
      <c r="E174" s="17"/>
    </row>
    <row r="175" spans="5:5" ht="15.75" thickBot="1" x14ac:dyDescent="0.3">
      <c r="E175" s="17"/>
    </row>
    <row r="176" spans="5:5" ht="15.75" thickBot="1" x14ac:dyDescent="0.3">
      <c r="E176" s="17"/>
    </row>
    <row r="177" spans="5:5" ht="15.75" thickBot="1" x14ac:dyDescent="0.3">
      <c r="E177" s="17"/>
    </row>
    <row r="178" spans="5:5" ht="15.75" thickBot="1" x14ac:dyDescent="0.3">
      <c r="E178" s="17"/>
    </row>
    <row r="179" spans="5:5" ht="15.75" thickBot="1" x14ac:dyDescent="0.3">
      <c r="E179" s="17"/>
    </row>
    <row r="180" spans="5:5" ht="15.75" thickBot="1" x14ac:dyDescent="0.3">
      <c r="E180" s="17"/>
    </row>
    <row r="181" spans="5:5" ht="15.75" thickBot="1" x14ac:dyDescent="0.3">
      <c r="E181" s="17"/>
    </row>
    <row r="182" spans="5:5" ht="15.75" thickBot="1" x14ac:dyDescent="0.3">
      <c r="E182" s="17"/>
    </row>
    <row r="183" spans="5:5" ht="15.75" thickBot="1" x14ac:dyDescent="0.3">
      <c r="E183" s="17"/>
    </row>
    <row r="184" spans="5:5" ht="15.75" thickBot="1" x14ac:dyDescent="0.3">
      <c r="E184" s="17"/>
    </row>
    <row r="185" spans="5:5" ht="15.75" thickBot="1" x14ac:dyDescent="0.3">
      <c r="E185" s="17"/>
    </row>
    <row r="186" spans="5:5" ht="15.75" thickBot="1" x14ac:dyDescent="0.3">
      <c r="E186" s="17"/>
    </row>
    <row r="187" spans="5:5" ht="15.75" thickBot="1" x14ac:dyDescent="0.3">
      <c r="E187" s="17"/>
    </row>
    <row r="188" spans="5:5" ht="15.75" thickBot="1" x14ac:dyDescent="0.3">
      <c r="E188" s="17"/>
    </row>
    <row r="189" spans="5:5" ht="15.75" thickBot="1" x14ac:dyDescent="0.3">
      <c r="E189" s="17"/>
    </row>
    <row r="190" spans="5:5" ht="15.75" thickBot="1" x14ac:dyDescent="0.3">
      <c r="E190" s="17"/>
    </row>
    <row r="191" spans="5:5" ht="15.75" thickBot="1" x14ac:dyDescent="0.3">
      <c r="E191" s="17"/>
    </row>
    <row r="192" spans="5:5" ht="15.75" thickBot="1" x14ac:dyDescent="0.3">
      <c r="E192" s="17"/>
    </row>
    <row r="193" spans="5:5" ht="15.75" thickBot="1" x14ac:dyDescent="0.3">
      <c r="E193" s="17"/>
    </row>
    <row r="194" spans="5:5" ht="15.75" thickBot="1" x14ac:dyDescent="0.3">
      <c r="E194" s="17"/>
    </row>
    <row r="195" spans="5:5" ht="15.75" thickBot="1" x14ac:dyDescent="0.3">
      <c r="E195" s="17"/>
    </row>
    <row r="196" spans="5:5" ht="15.75" thickBot="1" x14ac:dyDescent="0.3">
      <c r="E196" s="17"/>
    </row>
    <row r="197" spans="5:5" ht="15.75" thickBot="1" x14ac:dyDescent="0.3">
      <c r="E197" s="17"/>
    </row>
    <row r="198" spans="5:5" ht="15.75" thickBot="1" x14ac:dyDescent="0.3">
      <c r="E198" s="17"/>
    </row>
    <row r="199" spans="5:5" ht="15.75" thickBot="1" x14ac:dyDescent="0.3">
      <c r="E199" s="17"/>
    </row>
    <row r="200" spans="5:5" ht="15.75" thickBot="1" x14ac:dyDescent="0.3">
      <c r="E200" s="17"/>
    </row>
    <row r="201" spans="5:5" ht="15.75" thickBot="1" x14ac:dyDescent="0.3">
      <c r="E201" s="17"/>
    </row>
    <row r="202" spans="5:5" ht="15.75" thickBot="1" x14ac:dyDescent="0.3">
      <c r="E202" s="17"/>
    </row>
    <row r="203" spans="5:5" ht="15.75" thickBot="1" x14ac:dyDescent="0.3">
      <c r="E203" s="17"/>
    </row>
    <row r="204" spans="5:5" ht="15.75" thickBot="1" x14ac:dyDescent="0.3">
      <c r="E204" s="17"/>
    </row>
    <row r="205" spans="5:5" ht="15.75" thickBot="1" x14ac:dyDescent="0.3">
      <c r="E205" s="17"/>
    </row>
    <row r="206" spans="5:5" ht="15.75" thickBot="1" x14ac:dyDescent="0.3">
      <c r="E206" s="17"/>
    </row>
    <row r="207" spans="5:5" ht="15.75" thickBot="1" x14ac:dyDescent="0.3">
      <c r="E207" s="17"/>
    </row>
    <row r="208" spans="5:5" ht="15.75" thickBot="1" x14ac:dyDescent="0.3">
      <c r="E208" s="17"/>
    </row>
    <row r="209" spans="5:5" ht="15.75" thickBot="1" x14ac:dyDescent="0.3">
      <c r="E209" s="17"/>
    </row>
    <row r="210" spans="5:5" ht="15.75" thickBot="1" x14ac:dyDescent="0.3">
      <c r="E210" s="17"/>
    </row>
    <row r="211" spans="5:5" ht="15.75" thickBot="1" x14ac:dyDescent="0.3">
      <c r="E211" s="17"/>
    </row>
    <row r="212" spans="5:5" ht="15.75" thickBot="1" x14ac:dyDescent="0.3">
      <c r="E212" s="17"/>
    </row>
    <row r="213" spans="5:5" ht="15.75" thickBot="1" x14ac:dyDescent="0.3">
      <c r="E213" s="17"/>
    </row>
    <row r="214" spans="5:5" ht="15.75" thickBot="1" x14ac:dyDescent="0.3">
      <c r="E214" s="17"/>
    </row>
    <row r="215" spans="5:5" ht="15.75" thickBot="1" x14ac:dyDescent="0.3">
      <c r="E215" s="17"/>
    </row>
    <row r="216" spans="5:5" ht="15.75" thickBot="1" x14ac:dyDescent="0.3">
      <c r="E216" s="17"/>
    </row>
    <row r="217" spans="5:5" ht="15.75" thickBot="1" x14ac:dyDescent="0.3">
      <c r="E217" s="17"/>
    </row>
    <row r="218" spans="5:5" ht="15.75" thickBot="1" x14ac:dyDescent="0.3">
      <c r="E218" s="17"/>
    </row>
    <row r="219" spans="5:5" ht="15.75" thickBot="1" x14ac:dyDescent="0.3">
      <c r="E219" s="17"/>
    </row>
    <row r="220" spans="5:5" ht="15.75" thickBot="1" x14ac:dyDescent="0.3">
      <c r="E220" s="17"/>
    </row>
    <row r="221" spans="5:5" ht="15.75" thickBot="1" x14ac:dyDescent="0.3">
      <c r="E221" s="17"/>
    </row>
    <row r="222" spans="5:5" ht="15.75" thickBot="1" x14ac:dyDescent="0.3">
      <c r="E222" s="17"/>
    </row>
    <row r="223" spans="5:5" ht="15.75" thickBot="1" x14ac:dyDescent="0.3">
      <c r="E223" s="17"/>
    </row>
    <row r="224" spans="5:5" ht="15.75" thickBot="1" x14ac:dyDescent="0.3">
      <c r="E224" s="17"/>
    </row>
    <row r="225" spans="5:5" ht="15.75" thickBot="1" x14ac:dyDescent="0.3">
      <c r="E225" s="17"/>
    </row>
    <row r="226" spans="5:5" ht="15.75" thickBot="1" x14ac:dyDescent="0.3">
      <c r="E226" s="17"/>
    </row>
    <row r="227" spans="5:5" ht="15.75" thickBot="1" x14ac:dyDescent="0.3">
      <c r="E227" s="17"/>
    </row>
    <row r="228" spans="5:5" ht="15.75" thickBot="1" x14ac:dyDescent="0.3">
      <c r="E228" s="17"/>
    </row>
    <row r="229" spans="5:5" ht="15.75" thickBot="1" x14ac:dyDescent="0.3">
      <c r="E229" s="17"/>
    </row>
    <row r="230" spans="5:5" ht="15.75" thickBot="1" x14ac:dyDescent="0.3">
      <c r="E230" s="17"/>
    </row>
    <row r="231" spans="5:5" ht="15.75" thickBot="1" x14ac:dyDescent="0.3">
      <c r="E231" s="17"/>
    </row>
    <row r="232" spans="5:5" ht="15.75" thickBot="1" x14ac:dyDescent="0.3">
      <c r="E232" s="17"/>
    </row>
    <row r="233" spans="5:5" ht="15.75" thickBot="1" x14ac:dyDescent="0.3">
      <c r="E233" s="17"/>
    </row>
    <row r="234" spans="5:5" ht="15.75" thickBot="1" x14ac:dyDescent="0.3">
      <c r="E234" s="17"/>
    </row>
    <row r="235" spans="5:5" ht="15.75" thickBot="1" x14ac:dyDescent="0.3">
      <c r="E235" s="17"/>
    </row>
    <row r="236" spans="5:5" ht="15.75" thickBot="1" x14ac:dyDescent="0.3">
      <c r="E236" s="17"/>
    </row>
    <row r="237" spans="5:5" ht="15.75" thickBot="1" x14ac:dyDescent="0.3">
      <c r="E237" s="17"/>
    </row>
    <row r="238" spans="5:5" ht="15.75" thickBot="1" x14ac:dyDescent="0.3">
      <c r="E238" s="17"/>
    </row>
    <row r="239" spans="5:5" ht="15.75" thickBot="1" x14ac:dyDescent="0.3">
      <c r="E239" s="17"/>
    </row>
    <row r="240" spans="5:5" ht="15.75" thickBot="1" x14ac:dyDescent="0.3">
      <c r="E240" s="17"/>
    </row>
    <row r="241" spans="5:5" ht="15.75" thickBot="1" x14ac:dyDescent="0.3">
      <c r="E241" s="17"/>
    </row>
    <row r="242" spans="5:5" ht="15.75" thickBot="1" x14ac:dyDescent="0.3">
      <c r="E242" s="17"/>
    </row>
    <row r="243" spans="5:5" ht="15.75" thickBot="1" x14ac:dyDescent="0.3">
      <c r="E243" s="17"/>
    </row>
    <row r="244" spans="5:5" ht="15.75" thickBot="1" x14ac:dyDescent="0.3">
      <c r="E244" s="17"/>
    </row>
    <row r="245" spans="5:5" ht="15.75" thickBot="1" x14ac:dyDescent="0.3">
      <c r="E245" s="17"/>
    </row>
    <row r="246" spans="5:5" ht="15.75" thickBot="1" x14ac:dyDescent="0.3">
      <c r="E246" s="17"/>
    </row>
    <row r="247" spans="5:5" ht="15.75" thickBot="1" x14ac:dyDescent="0.3">
      <c r="E247" s="17"/>
    </row>
    <row r="248" spans="5:5" ht="15.75" thickBot="1" x14ac:dyDescent="0.3">
      <c r="E248" s="17"/>
    </row>
    <row r="249" spans="5:5" ht="15.75" thickBot="1" x14ac:dyDescent="0.3">
      <c r="E249" s="17"/>
    </row>
    <row r="250" spans="5:5" ht="15.75" thickBot="1" x14ac:dyDescent="0.3">
      <c r="E250" s="17"/>
    </row>
    <row r="251" spans="5:5" ht="15.75" thickBot="1" x14ac:dyDescent="0.3">
      <c r="E251" s="17"/>
    </row>
    <row r="252" spans="5:5" ht="15.75" thickBot="1" x14ac:dyDescent="0.3">
      <c r="E252" s="17"/>
    </row>
    <row r="253" spans="5:5" ht="15.75" thickBot="1" x14ac:dyDescent="0.3">
      <c r="E253" s="17"/>
    </row>
    <row r="254" spans="5:5" ht="15.75" thickBot="1" x14ac:dyDescent="0.3">
      <c r="E254" s="17"/>
    </row>
    <row r="255" spans="5:5" ht="15.75" thickBot="1" x14ac:dyDescent="0.3">
      <c r="E255" s="17"/>
    </row>
    <row r="256" spans="5:5" ht="15.75" thickBot="1" x14ac:dyDescent="0.3">
      <c r="E256" s="17"/>
    </row>
    <row r="257" spans="5:5" ht="15.75" thickBot="1" x14ac:dyDescent="0.3">
      <c r="E257" s="17"/>
    </row>
    <row r="258" spans="5:5" ht="15.75" thickBot="1" x14ac:dyDescent="0.3">
      <c r="E258" s="17"/>
    </row>
    <row r="259" spans="5:5" ht="15.75" thickBot="1" x14ac:dyDescent="0.3">
      <c r="E259" s="17"/>
    </row>
    <row r="260" spans="5:5" ht="15.75" thickBot="1" x14ac:dyDescent="0.3">
      <c r="E260" s="17"/>
    </row>
    <row r="261" spans="5:5" ht="15.75" thickBot="1" x14ac:dyDescent="0.3">
      <c r="E261" s="17"/>
    </row>
    <row r="262" spans="5:5" ht="15.75" thickBot="1" x14ac:dyDescent="0.3">
      <c r="E262" s="17"/>
    </row>
    <row r="263" spans="5:5" ht="15.75" thickBot="1" x14ac:dyDescent="0.3">
      <c r="E263" s="17"/>
    </row>
    <row r="264" spans="5:5" ht="15.75" thickBot="1" x14ac:dyDescent="0.3">
      <c r="E264" s="17"/>
    </row>
    <row r="265" spans="5:5" ht="15.75" thickBot="1" x14ac:dyDescent="0.3">
      <c r="E265" s="17"/>
    </row>
    <row r="266" spans="5:5" ht="15.75" thickBot="1" x14ac:dyDescent="0.3">
      <c r="E266" s="17"/>
    </row>
    <row r="267" spans="5:5" ht="15.75" thickBot="1" x14ac:dyDescent="0.3">
      <c r="E267" s="17"/>
    </row>
    <row r="268" spans="5:5" ht="15.75" thickBot="1" x14ac:dyDescent="0.3">
      <c r="E268" s="17"/>
    </row>
    <row r="269" spans="5:5" ht="15.75" thickBot="1" x14ac:dyDescent="0.3">
      <c r="E269" s="17"/>
    </row>
    <row r="270" spans="5:5" ht="15.75" thickBot="1" x14ac:dyDescent="0.3">
      <c r="E270" s="17"/>
    </row>
    <row r="271" spans="5:5" ht="15.75" thickBot="1" x14ac:dyDescent="0.3">
      <c r="E271" s="17"/>
    </row>
    <row r="272" spans="5:5" ht="15.75" thickBot="1" x14ac:dyDescent="0.3">
      <c r="E272" s="17"/>
    </row>
    <row r="273" spans="5:5" ht="15.75" thickBot="1" x14ac:dyDescent="0.3">
      <c r="E273" s="17"/>
    </row>
    <row r="274" spans="5:5" ht="15.75" thickBot="1" x14ac:dyDescent="0.3">
      <c r="E274" s="17"/>
    </row>
    <row r="275" spans="5:5" ht="15.75" thickBot="1" x14ac:dyDescent="0.3">
      <c r="E275" s="17"/>
    </row>
    <row r="276" spans="5:5" ht="15.75" thickBot="1" x14ac:dyDescent="0.3">
      <c r="E276" s="17"/>
    </row>
    <row r="277" spans="5:5" ht="15.75" thickBot="1" x14ac:dyDescent="0.3">
      <c r="E277" s="17"/>
    </row>
    <row r="278" spans="5:5" ht="15.75" thickBot="1" x14ac:dyDescent="0.3">
      <c r="E278" s="17"/>
    </row>
    <row r="279" spans="5:5" ht="15.75" thickBot="1" x14ac:dyDescent="0.3">
      <c r="E279" s="17"/>
    </row>
    <row r="280" spans="5:5" ht="15.75" thickBot="1" x14ac:dyDescent="0.3">
      <c r="E280" s="17"/>
    </row>
    <row r="281" spans="5:5" ht="15.75" thickBot="1" x14ac:dyDescent="0.3">
      <c r="E281" s="17"/>
    </row>
    <row r="282" spans="5:5" ht="15.75" thickBot="1" x14ac:dyDescent="0.3">
      <c r="E282" s="17"/>
    </row>
    <row r="283" spans="5:5" ht="15.75" thickBot="1" x14ac:dyDescent="0.3">
      <c r="E283" s="17"/>
    </row>
    <row r="284" spans="5:5" ht="15.75" thickBot="1" x14ac:dyDescent="0.3">
      <c r="E284" s="17"/>
    </row>
    <row r="285" spans="5:5" ht="15.75" thickBot="1" x14ac:dyDescent="0.3">
      <c r="E285" s="17"/>
    </row>
    <row r="286" spans="5:5" ht="15.75" thickBot="1" x14ac:dyDescent="0.3">
      <c r="E286" s="17"/>
    </row>
    <row r="287" spans="5:5" ht="15.75" thickBot="1" x14ac:dyDescent="0.3">
      <c r="E287" s="17"/>
    </row>
    <row r="288" spans="5:5" ht="15.75" thickBot="1" x14ac:dyDescent="0.3">
      <c r="E288" s="17"/>
    </row>
    <row r="289" spans="5:5" ht="15.75" thickBot="1" x14ac:dyDescent="0.3">
      <c r="E289" s="17"/>
    </row>
    <row r="290" spans="5:5" ht="15.75" thickBot="1" x14ac:dyDescent="0.3">
      <c r="E290" s="17"/>
    </row>
    <row r="291" spans="5:5" ht="15.75" thickBot="1" x14ac:dyDescent="0.3">
      <c r="E291" s="17"/>
    </row>
    <row r="292" spans="5:5" ht="15.75" thickBot="1" x14ac:dyDescent="0.3">
      <c r="E292" s="17"/>
    </row>
    <row r="293" spans="5:5" ht="15.75" thickBot="1" x14ac:dyDescent="0.3">
      <c r="E293" s="17"/>
    </row>
    <row r="294" spans="5:5" ht="15.75" thickBot="1" x14ac:dyDescent="0.3">
      <c r="E294" s="17"/>
    </row>
    <row r="295" spans="5:5" ht="15.75" thickBot="1" x14ac:dyDescent="0.3">
      <c r="E295" s="17"/>
    </row>
    <row r="296" spans="5:5" ht="15.75" thickBot="1" x14ac:dyDescent="0.3">
      <c r="E296" s="17"/>
    </row>
    <row r="297" spans="5:5" ht="15.75" thickBot="1" x14ac:dyDescent="0.3">
      <c r="E297" s="17"/>
    </row>
    <row r="298" spans="5:5" ht="15.75" thickBot="1" x14ac:dyDescent="0.3">
      <c r="E298" s="17"/>
    </row>
    <row r="299" spans="5:5" ht="15.75" thickBot="1" x14ac:dyDescent="0.3">
      <c r="E299" s="17"/>
    </row>
    <row r="300" spans="5:5" ht="15.75" thickBot="1" x14ac:dyDescent="0.3">
      <c r="E300" s="17"/>
    </row>
    <row r="301" spans="5:5" ht="15.75" thickBot="1" x14ac:dyDescent="0.3">
      <c r="E301" s="17"/>
    </row>
    <row r="302" spans="5:5" ht="15.75" thickBot="1" x14ac:dyDescent="0.3">
      <c r="E302" s="17"/>
    </row>
    <row r="303" spans="5:5" ht="15.75" thickBot="1" x14ac:dyDescent="0.3">
      <c r="E303" s="17"/>
    </row>
    <row r="304" spans="5:5" ht="15.75" thickBot="1" x14ac:dyDescent="0.3">
      <c r="E304" s="17"/>
    </row>
    <row r="305" spans="5:5" ht="15.75" thickBot="1" x14ac:dyDescent="0.3">
      <c r="E305" s="17"/>
    </row>
    <row r="306" spans="5:5" ht="15.75" thickBot="1" x14ac:dyDescent="0.3">
      <c r="E306" s="17"/>
    </row>
    <row r="307" spans="5:5" ht="15.75" thickBot="1" x14ac:dyDescent="0.3">
      <c r="E307" s="17"/>
    </row>
    <row r="308" spans="5:5" ht="15.75" thickBot="1" x14ac:dyDescent="0.3">
      <c r="E308" s="17"/>
    </row>
    <row r="309" spans="5:5" ht="15.75" thickBot="1" x14ac:dyDescent="0.3">
      <c r="E309" s="17"/>
    </row>
    <row r="310" spans="5:5" ht="15.75" thickBot="1" x14ac:dyDescent="0.3">
      <c r="E310" s="17"/>
    </row>
    <row r="311" spans="5:5" ht="15.75" thickBot="1" x14ac:dyDescent="0.3">
      <c r="E311" s="17"/>
    </row>
    <row r="312" spans="5:5" ht="15.75" thickBot="1" x14ac:dyDescent="0.3">
      <c r="E312" s="17"/>
    </row>
    <row r="313" spans="5:5" ht="15.75" thickBot="1" x14ac:dyDescent="0.3">
      <c r="E313" s="17"/>
    </row>
    <row r="314" spans="5:5" ht="15.75" thickBot="1" x14ac:dyDescent="0.3">
      <c r="E314" s="17"/>
    </row>
    <row r="315" spans="5:5" ht="15.75" thickBot="1" x14ac:dyDescent="0.3">
      <c r="E315" s="17"/>
    </row>
    <row r="316" spans="5:5" ht="15.75" thickBot="1" x14ac:dyDescent="0.3">
      <c r="E316" s="17"/>
    </row>
    <row r="317" spans="5:5" ht="15.75" thickBot="1" x14ac:dyDescent="0.3">
      <c r="E317" s="17"/>
    </row>
    <row r="318" spans="5:5" ht="15.75" thickBot="1" x14ac:dyDescent="0.3">
      <c r="E318" s="17"/>
    </row>
    <row r="319" spans="5:5" ht="15.75" thickBot="1" x14ac:dyDescent="0.3">
      <c r="E319" s="17"/>
    </row>
    <row r="320" spans="5:5" ht="15.75" thickBot="1" x14ac:dyDescent="0.3">
      <c r="E320" s="17"/>
    </row>
    <row r="321" spans="5:5" ht="15.75" thickBot="1" x14ac:dyDescent="0.3">
      <c r="E321" s="17"/>
    </row>
    <row r="322" spans="5:5" ht="15.75" thickBot="1" x14ac:dyDescent="0.3">
      <c r="E322" s="17"/>
    </row>
    <row r="323" spans="5:5" ht="15.75" thickBot="1" x14ac:dyDescent="0.3">
      <c r="E323" s="17"/>
    </row>
    <row r="324" spans="5:5" ht="15.75" thickBot="1" x14ac:dyDescent="0.3">
      <c r="E324" s="17"/>
    </row>
    <row r="325" spans="5:5" ht="15.75" thickBot="1" x14ac:dyDescent="0.3">
      <c r="E325" s="17"/>
    </row>
    <row r="326" spans="5:5" ht="15.75" thickBot="1" x14ac:dyDescent="0.3">
      <c r="E326" s="17"/>
    </row>
    <row r="327" spans="5:5" ht="15.75" thickBot="1" x14ac:dyDescent="0.3">
      <c r="E327" s="17"/>
    </row>
    <row r="328" spans="5:5" ht="15.75" thickBot="1" x14ac:dyDescent="0.3">
      <c r="E328" s="17"/>
    </row>
    <row r="329" spans="5:5" ht="15.75" thickBot="1" x14ac:dyDescent="0.3">
      <c r="E329" s="17"/>
    </row>
    <row r="330" spans="5:5" ht="15.75" thickBot="1" x14ac:dyDescent="0.3">
      <c r="E330" s="17"/>
    </row>
    <row r="331" spans="5:5" ht="15.75" thickBot="1" x14ac:dyDescent="0.3">
      <c r="E331" s="17"/>
    </row>
    <row r="332" spans="5:5" ht="15.75" thickBot="1" x14ac:dyDescent="0.3">
      <c r="E332" s="17"/>
    </row>
    <row r="333" spans="5:5" ht="15.75" thickBot="1" x14ac:dyDescent="0.3">
      <c r="E333" s="17"/>
    </row>
    <row r="334" spans="5:5" ht="15.75" thickBot="1" x14ac:dyDescent="0.3">
      <c r="E334" s="17"/>
    </row>
    <row r="335" spans="5:5" ht="15.75" thickBot="1" x14ac:dyDescent="0.3">
      <c r="E335" s="17"/>
    </row>
    <row r="336" spans="5:5" ht="15.75" thickBot="1" x14ac:dyDescent="0.3">
      <c r="E336" s="17"/>
    </row>
    <row r="337" spans="5:5" ht="15.75" thickBot="1" x14ac:dyDescent="0.3">
      <c r="E337" s="17"/>
    </row>
    <row r="338" spans="5:5" ht="15.75" thickBot="1" x14ac:dyDescent="0.3">
      <c r="E338" s="17"/>
    </row>
    <row r="339" spans="5:5" ht="15.75" thickBot="1" x14ac:dyDescent="0.3">
      <c r="E339" s="17"/>
    </row>
    <row r="340" spans="5:5" ht="15.75" thickBot="1" x14ac:dyDescent="0.3">
      <c r="E340" s="17"/>
    </row>
    <row r="341" spans="5:5" ht="15.75" thickBot="1" x14ac:dyDescent="0.3">
      <c r="E341" s="17"/>
    </row>
    <row r="342" spans="5:5" ht="15.75" thickBot="1" x14ac:dyDescent="0.3">
      <c r="E342" s="17"/>
    </row>
    <row r="343" spans="5:5" ht="15.75" thickBot="1" x14ac:dyDescent="0.3">
      <c r="E343" s="17"/>
    </row>
    <row r="344" spans="5:5" ht="15.75" thickBot="1" x14ac:dyDescent="0.3">
      <c r="E344" s="17"/>
    </row>
    <row r="345" spans="5:5" ht="15.75" thickBot="1" x14ac:dyDescent="0.3">
      <c r="E345" s="17"/>
    </row>
    <row r="346" spans="5:5" ht="15.75" thickBot="1" x14ac:dyDescent="0.3">
      <c r="E346" s="17"/>
    </row>
    <row r="347" spans="5:5" ht="15.75" thickBot="1" x14ac:dyDescent="0.3">
      <c r="E347" s="17"/>
    </row>
    <row r="348" spans="5:5" ht="15.75" thickBot="1" x14ac:dyDescent="0.3">
      <c r="E348" s="17"/>
    </row>
    <row r="349" spans="5:5" ht="15.75" thickBot="1" x14ac:dyDescent="0.3">
      <c r="E349" s="17"/>
    </row>
    <row r="350" spans="5:5" ht="15.75" thickBot="1" x14ac:dyDescent="0.3">
      <c r="E350" s="17"/>
    </row>
    <row r="351" spans="5:5" ht="15.75" thickBot="1" x14ac:dyDescent="0.3">
      <c r="E351" s="17"/>
    </row>
    <row r="352" spans="5:5" ht="15.75" thickBot="1" x14ac:dyDescent="0.3">
      <c r="E352" s="17"/>
    </row>
    <row r="353" spans="5:5" ht="15.75" thickBot="1" x14ac:dyDescent="0.3">
      <c r="E353" s="17"/>
    </row>
    <row r="354" spans="5:5" ht="15.75" thickBot="1" x14ac:dyDescent="0.3">
      <c r="E354" s="17"/>
    </row>
    <row r="355" spans="5:5" ht="15.75" thickBot="1" x14ac:dyDescent="0.3">
      <c r="E355" s="17"/>
    </row>
    <row r="356" spans="5:5" ht="15.75" thickBot="1" x14ac:dyDescent="0.3">
      <c r="E356" s="17"/>
    </row>
    <row r="357" spans="5:5" ht="15.75" thickBot="1" x14ac:dyDescent="0.3">
      <c r="E357" s="17"/>
    </row>
    <row r="358" spans="5:5" ht="15.75" thickBot="1" x14ac:dyDescent="0.3">
      <c r="E358" s="17"/>
    </row>
    <row r="359" spans="5:5" ht="15.75" thickBot="1" x14ac:dyDescent="0.3">
      <c r="E359" s="17"/>
    </row>
    <row r="360" spans="5:5" ht="15.75" thickBot="1" x14ac:dyDescent="0.3">
      <c r="E360" s="17"/>
    </row>
    <row r="361" spans="5:5" ht="15.75" thickBot="1" x14ac:dyDescent="0.3">
      <c r="E361" s="17"/>
    </row>
    <row r="362" spans="5:5" ht="15.75" thickBot="1" x14ac:dyDescent="0.3">
      <c r="E362" s="17"/>
    </row>
    <row r="363" spans="5:5" ht="15.75" thickBot="1" x14ac:dyDescent="0.3">
      <c r="E363" s="17"/>
    </row>
    <row r="364" spans="5:5" ht="15.75" thickBot="1" x14ac:dyDescent="0.3">
      <c r="E364" s="17"/>
    </row>
    <row r="365" spans="5:5" ht="15.75" thickBot="1" x14ac:dyDescent="0.3">
      <c r="E365" s="17"/>
    </row>
    <row r="366" spans="5:5" ht="15.75" thickBot="1" x14ac:dyDescent="0.3">
      <c r="E366" s="17"/>
    </row>
    <row r="367" spans="5:5" ht="15.75" thickBot="1" x14ac:dyDescent="0.3">
      <c r="E367" s="17"/>
    </row>
    <row r="368" spans="5:5" ht="15.75" thickBot="1" x14ac:dyDescent="0.3">
      <c r="E368" s="17"/>
    </row>
    <row r="369" spans="5:5" ht="15.75" thickBot="1" x14ac:dyDescent="0.3">
      <c r="E369" s="17"/>
    </row>
    <row r="370" spans="5:5" ht="15.75" thickBot="1" x14ac:dyDescent="0.3">
      <c r="E370" s="17"/>
    </row>
    <row r="371" spans="5:5" ht="15.75" thickBot="1" x14ac:dyDescent="0.3">
      <c r="E371" s="17"/>
    </row>
    <row r="372" spans="5:5" ht="15.75" thickBot="1" x14ac:dyDescent="0.3">
      <c r="E372" s="17"/>
    </row>
    <row r="373" spans="5:5" ht="15.75" thickBot="1" x14ac:dyDescent="0.3">
      <c r="E373" s="17"/>
    </row>
    <row r="374" spans="5:5" ht="15.75" thickBot="1" x14ac:dyDescent="0.3">
      <c r="E374" s="17"/>
    </row>
    <row r="375" spans="5:5" ht="15.75" thickBot="1" x14ac:dyDescent="0.3">
      <c r="E375" s="17"/>
    </row>
    <row r="376" spans="5:5" ht="15.75" thickBot="1" x14ac:dyDescent="0.3">
      <c r="E376" s="17"/>
    </row>
    <row r="377" spans="5:5" ht="15.75" thickBot="1" x14ac:dyDescent="0.3">
      <c r="E377" s="17"/>
    </row>
    <row r="378" spans="5:5" ht="15.75" thickBot="1" x14ac:dyDescent="0.3">
      <c r="E378" s="17"/>
    </row>
    <row r="379" spans="5:5" ht="15.75" thickBot="1" x14ac:dyDescent="0.3">
      <c r="E379" s="17"/>
    </row>
    <row r="380" spans="5:5" ht="15.75" thickBot="1" x14ac:dyDescent="0.3">
      <c r="E380" s="17"/>
    </row>
    <row r="381" spans="5:5" ht="15.75" thickBot="1" x14ac:dyDescent="0.3">
      <c r="E381" s="17"/>
    </row>
    <row r="382" spans="5:5" ht="15.75" thickBot="1" x14ac:dyDescent="0.3">
      <c r="E382" s="17"/>
    </row>
    <row r="383" spans="5:5" ht="15.75" thickBot="1" x14ac:dyDescent="0.3">
      <c r="E383" s="17"/>
    </row>
    <row r="384" spans="5:5" ht="15.75" thickBot="1" x14ac:dyDescent="0.3">
      <c r="E384" s="17"/>
    </row>
    <row r="385" spans="5:5" ht="15.75" thickBot="1" x14ac:dyDescent="0.3">
      <c r="E385" s="17"/>
    </row>
    <row r="386" spans="5:5" ht="15.75" thickBot="1" x14ac:dyDescent="0.3">
      <c r="E386" s="17"/>
    </row>
    <row r="387" spans="5:5" ht="15.75" thickBot="1" x14ac:dyDescent="0.3">
      <c r="E387" s="17"/>
    </row>
    <row r="388" spans="5:5" ht="15.75" thickBot="1" x14ac:dyDescent="0.3">
      <c r="E388" s="17"/>
    </row>
    <row r="389" spans="5:5" ht="15.75" thickBot="1" x14ac:dyDescent="0.3">
      <c r="E389" s="17"/>
    </row>
    <row r="390" spans="5:5" ht="15.75" thickBot="1" x14ac:dyDescent="0.3">
      <c r="E390" s="17"/>
    </row>
    <row r="391" spans="5:5" ht="15.75" thickBot="1" x14ac:dyDescent="0.3">
      <c r="E391" s="17"/>
    </row>
    <row r="392" spans="5:5" ht="15.75" thickBot="1" x14ac:dyDescent="0.3">
      <c r="E392" s="17"/>
    </row>
    <row r="393" spans="5:5" ht="15.75" thickBot="1" x14ac:dyDescent="0.3">
      <c r="E393" s="17"/>
    </row>
    <row r="394" spans="5:5" ht="15.75" thickBot="1" x14ac:dyDescent="0.3">
      <c r="E394" s="17"/>
    </row>
    <row r="395" spans="5:5" ht="15.75" thickBot="1" x14ac:dyDescent="0.3">
      <c r="E395" s="17"/>
    </row>
    <row r="396" spans="5:5" ht="15.75" thickBot="1" x14ac:dyDescent="0.3">
      <c r="E396" s="17"/>
    </row>
    <row r="397" spans="5:5" ht="15.75" thickBot="1" x14ac:dyDescent="0.3">
      <c r="E397" s="17"/>
    </row>
    <row r="398" spans="5:5" ht="15.75" thickBot="1" x14ac:dyDescent="0.3">
      <c r="E398" s="17"/>
    </row>
    <row r="399" spans="5:5" ht="15.75" thickBot="1" x14ac:dyDescent="0.3">
      <c r="E399" s="17"/>
    </row>
    <row r="400" spans="5:5" ht="15.75" thickBot="1" x14ac:dyDescent="0.3">
      <c r="E400" s="17"/>
    </row>
    <row r="401" spans="5:5" ht="15.75" thickBot="1" x14ac:dyDescent="0.3">
      <c r="E401" s="17"/>
    </row>
    <row r="402" spans="5:5" ht="15.75" thickBot="1" x14ac:dyDescent="0.3">
      <c r="E402" s="17"/>
    </row>
    <row r="403" spans="5:5" ht="15.75" thickBot="1" x14ac:dyDescent="0.3">
      <c r="E403" s="17"/>
    </row>
    <row r="404" spans="5:5" ht="15.75" thickBot="1" x14ac:dyDescent="0.3">
      <c r="E404" s="17"/>
    </row>
    <row r="405" spans="5:5" ht="15.75" thickBot="1" x14ac:dyDescent="0.3">
      <c r="E405" s="17"/>
    </row>
    <row r="406" spans="5:5" ht="15.75" thickBot="1" x14ac:dyDescent="0.3">
      <c r="E406" s="17"/>
    </row>
    <row r="407" spans="5:5" ht="15.75" thickBot="1" x14ac:dyDescent="0.3">
      <c r="E407" s="17"/>
    </row>
    <row r="408" spans="5:5" ht="15.75" thickBot="1" x14ac:dyDescent="0.3">
      <c r="E408" s="17"/>
    </row>
    <row r="409" spans="5:5" ht="15.75" thickBot="1" x14ac:dyDescent="0.3">
      <c r="E409" s="17"/>
    </row>
    <row r="410" spans="5:5" ht="15.75" thickBot="1" x14ac:dyDescent="0.3">
      <c r="E410" s="17"/>
    </row>
    <row r="411" spans="5:5" ht="15.75" thickBot="1" x14ac:dyDescent="0.3">
      <c r="E411" s="17"/>
    </row>
    <row r="412" spans="5:5" ht="15.75" thickBot="1" x14ac:dyDescent="0.3">
      <c r="E412" s="17"/>
    </row>
    <row r="413" spans="5:5" ht="15.75" thickBot="1" x14ac:dyDescent="0.3">
      <c r="E413" s="17"/>
    </row>
    <row r="414" spans="5:5" ht="15.75" thickBot="1" x14ac:dyDescent="0.3">
      <c r="E414" s="17"/>
    </row>
    <row r="415" spans="5:5" ht="15.75" thickBot="1" x14ac:dyDescent="0.3">
      <c r="E415" s="17"/>
    </row>
    <row r="416" spans="5:5" ht="15.75" thickBot="1" x14ac:dyDescent="0.3">
      <c r="E416" s="17"/>
    </row>
    <row r="417" spans="5:5" ht="15.75" thickBot="1" x14ac:dyDescent="0.3">
      <c r="E417" s="17"/>
    </row>
    <row r="418" spans="5:5" ht="15.75" thickBot="1" x14ac:dyDescent="0.3">
      <c r="E418" s="17"/>
    </row>
    <row r="419" spans="5:5" ht="15.75" thickBot="1" x14ac:dyDescent="0.3">
      <c r="E419" s="17"/>
    </row>
    <row r="420" spans="5:5" ht="15.75" thickBot="1" x14ac:dyDescent="0.3">
      <c r="E420" s="17"/>
    </row>
    <row r="421" spans="5:5" ht="15.75" thickBot="1" x14ac:dyDescent="0.3">
      <c r="E421" s="17"/>
    </row>
    <row r="422" spans="5:5" ht="15.75" thickBot="1" x14ac:dyDescent="0.3">
      <c r="E422" s="17"/>
    </row>
    <row r="423" spans="5:5" ht="15.75" thickBot="1" x14ac:dyDescent="0.3">
      <c r="E423" s="17"/>
    </row>
    <row r="424" spans="5:5" ht="15.75" thickBot="1" x14ac:dyDescent="0.3">
      <c r="E424" s="17"/>
    </row>
    <row r="425" spans="5:5" ht="15.75" thickBot="1" x14ac:dyDescent="0.3">
      <c r="E425" s="17"/>
    </row>
    <row r="426" spans="5:5" ht="15.75" thickBot="1" x14ac:dyDescent="0.3">
      <c r="E426" s="17"/>
    </row>
    <row r="427" spans="5:5" ht="15.75" thickBot="1" x14ac:dyDescent="0.3">
      <c r="E427" s="17"/>
    </row>
    <row r="428" spans="5:5" ht="15.75" thickBot="1" x14ac:dyDescent="0.3">
      <c r="E428" s="17"/>
    </row>
    <row r="429" spans="5:5" ht="15.75" thickBot="1" x14ac:dyDescent="0.3">
      <c r="E429" s="17"/>
    </row>
    <row r="430" spans="5:5" ht="15.75" thickBot="1" x14ac:dyDescent="0.3">
      <c r="E430" s="17"/>
    </row>
    <row r="431" spans="5:5" ht="15.75" thickBot="1" x14ac:dyDescent="0.3">
      <c r="E431" s="17"/>
    </row>
    <row r="432" spans="5:5" ht="15.75" thickBot="1" x14ac:dyDescent="0.3">
      <c r="E432" s="17"/>
    </row>
    <row r="433" spans="5:5" ht="15.75" thickBot="1" x14ac:dyDescent="0.3">
      <c r="E433" s="17"/>
    </row>
    <row r="434" spans="5:5" ht="15.75" thickBot="1" x14ac:dyDescent="0.3">
      <c r="E434" s="17"/>
    </row>
    <row r="435" spans="5:5" ht="15.75" thickBot="1" x14ac:dyDescent="0.3">
      <c r="E435" s="17"/>
    </row>
    <row r="436" spans="5:5" ht="15.75" thickBot="1" x14ac:dyDescent="0.3">
      <c r="E436" s="17"/>
    </row>
    <row r="437" spans="5:5" ht="15.75" thickBot="1" x14ac:dyDescent="0.3">
      <c r="E437" s="17"/>
    </row>
    <row r="438" spans="5:5" ht="15.75" thickBot="1" x14ac:dyDescent="0.3">
      <c r="E438" s="17"/>
    </row>
    <row r="439" spans="5:5" ht="15.75" thickBot="1" x14ac:dyDescent="0.3">
      <c r="E439" s="17"/>
    </row>
    <row r="440" spans="5:5" ht="15.75" thickBot="1" x14ac:dyDescent="0.3">
      <c r="E440" s="17"/>
    </row>
    <row r="441" spans="5:5" ht="15.75" thickBot="1" x14ac:dyDescent="0.3">
      <c r="E441" s="17"/>
    </row>
    <row r="442" spans="5:5" ht="15.75" thickBot="1" x14ac:dyDescent="0.3">
      <c r="E442" s="17"/>
    </row>
    <row r="443" spans="5:5" ht="15.75" thickBot="1" x14ac:dyDescent="0.3">
      <c r="E443" s="17"/>
    </row>
    <row r="444" spans="5:5" ht="15.75" thickBot="1" x14ac:dyDescent="0.3">
      <c r="E444" s="17"/>
    </row>
    <row r="445" spans="5:5" ht="15.75" thickBot="1" x14ac:dyDescent="0.3">
      <c r="E445" s="17"/>
    </row>
    <row r="446" spans="5:5" ht="15.75" thickBot="1" x14ac:dyDescent="0.3">
      <c r="E446" s="17"/>
    </row>
    <row r="447" spans="5:5" ht="15.75" thickBot="1" x14ac:dyDescent="0.3">
      <c r="E447" s="17"/>
    </row>
    <row r="448" spans="5:5" ht="15.75" thickBot="1" x14ac:dyDescent="0.3">
      <c r="E448" s="17"/>
    </row>
    <row r="449" spans="5:5" ht="15.75" thickBot="1" x14ac:dyDescent="0.3">
      <c r="E449" s="17"/>
    </row>
    <row r="450" spans="5:5" ht="15.75" thickBot="1" x14ac:dyDescent="0.3">
      <c r="E450" s="17"/>
    </row>
    <row r="451" spans="5:5" ht="15.75" thickBot="1" x14ac:dyDescent="0.3">
      <c r="E451" s="17"/>
    </row>
    <row r="452" spans="5:5" ht="15.75" thickBot="1" x14ac:dyDescent="0.3">
      <c r="E452" s="17"/>
    </row>
    <row r="453" spans="5:5" ht="15.75" thickBot="1" x14ac:dyDescent="0.3">
      <c r="E453" s="17"/>
    </row>
    <row r="454" spans="5:5" ht="15.75" thickBot="1" x14ac:dyDescent="0.3">
      <c r="E454" s="17"/>
    </row>
    <row r="455" spans="5:5" ht="15.75" thickBot="1" x14ac:dyDescent="0.3">
      <c r="E455" s="17"/>
    </row>
    <row r="456" spans="5:5" ht="15.75" thickBot="1" x14ac:dyDescent="0.3">
      <c r="E456" s="17"/>
    </row>
    <row r="457" spans="5:5" ht="15.75" thickBot="1" x14ac:dyDescent="0.3">
      <c r="E457" s="17"/>
    </row>
    <row r="458" spans="5:5" ht="15.75" thickBot="1" x14ac:dyDescent="0.3">
      <c r="E458" s="17"/>
    </row>
    <row r="459" spans="5:5" ht="15.75" thickBot="1" x14ac:dyDescent="0.3">
      <c r="E459" s="17"/>
    </row>
    <row r="460" spans="5:5" ht="15.75" thickBot="1" x14ac:dyDescent="0.3">
      <c r="E460" s="17"/>
    </row>
    <row r="461" spans="5:5" ht="15.75" thickBot="1" x14ac:dyDescent="0.3">
      <c r="E461" s="17"/>
    </row>
    <row r="462" spans="5:5" ht="15.75" thickBot="1" x14ac:dyDescent="0.3">
      <c r="E462" s="17"/>
    </row>
    <row r="463" spans="5:5" ht="15.75" thickBot="1" x14ac:dyDescent="0.3">
      <c r="E463" s="17"/>
    </row>
    <row r="464" spans="5:5" ht="15.75" thickBot="1" x14ac:dyDescent="0.3">
      <c r="E464" s="17"/>
    </row>
    <row r="465" spans="5:5" ht="15.75" thickBot="1" x14ac:dyDescent="0.3">
      <c r="E465" s="17"/>
    </row>
    <row r="466" spans="5:5" ht="15.75" thickBot="1" x14ac:dyDescent="0.3">
      <c r="E466" s="17"/>
    </row>
    <row r="467" spans="5:5" ht="15.75" thickBot="1" x14ac:dyDescent="0.3">
      <c r="E467" s="17"/>
    </row>
    <row r="468" spans="5:5" ht="15.75" thickBot="1" x14ac:dyDescent="0.3">
      <c r="E468" s="17"/>
    </row>
    <row r="469" spans="5:5" ht="15.75" thickBot="1" x14ac:dyDescent="0.3">
      <c r="E469" s="17"/>
    </row>
    <row r="470" spans="5:5" ht="15.75" thickBot="1" x14ac:dyDescent="0.3">
      <c r="E470" s="17"/>
    </row>
    <row r="471" spans="5:5" ht="15.75" thickBot="1" x14ac:dyDescent="0.3">
      <c r="E471" s="17"/>
    </row>
    <row r="472" spans="5:5" ht="15.75" thickBot="1" x14ac:dyDescent="0.3">
      <c r="E472" s="17"/>
    </row>
    <row r="473" spans="5:5" ht="15.75" thickBot="1" x14ac:dyDescent="0.3">
      <c r="E473" s="17"/>
    </row>
    <row r="474" spans="5:5" ht="15.75" thickBot="1" x14ac:dyDescent="0.3">
      <c r="E474" s="17"/>
    </row>
    <row r="475" spans="5:5" ht="15.75" thickBot="1" x14ac:dyDescent="0.3">
      <c r="E475" s="17"/>
    </row>
    <row r="476" spans="5:5" ht="15.75" thickBot="1" x14ac:dyDescent="0.3">
      <c r="E476" s="17"/>
    </row>
    <row r="477" spans="5:5" ht="15.75" thickBot="1" x14ac:dyDescent="0.3">
      <c r="E477" s="17"/>
    </row>
    <row r="478" spans="5:5" ht="15.75" thickBot="1" x14ac:dyDescent="0.3">
      <c r="E478" s="17"/>
    </row>
    <row r="479" spans="5:5" ht="15.75" thickBot="1" x14ac:dyDescent="0.3">
      <c r="E479" s="17"/>
    </row>
    <row r="480" spans="5:5" ht="15.75" thickBot="1" x14ac:dyDescent="0.3">
      <c r="E480" s="17"/>
    </row>
    <row r="481" spans="5:5" ht="15.75" thickBot="1" x14ac:dyDescent="0.3">
      <c r="E481" s="17"/>
    </row>
    <row r="482" spans="5:5" ht="15.75" thickBot="1" x14ac:dyDescent="0.3">
      <c r="E482" s="17"/>
    </row>
    <row r="483" spans="5:5" ht="15.75" thickBot="1" x14ac:dyDescent="0.3">
      <c r="E483" s="17"/>
    </row>
    <row r="484" spans="5:5" ht="15.75" thickBot="1" x14ac:dyDescent="0.3">
      <c r="E484" s="17"/>
    </row>
    <row r="485" spans="5:5" ht="15.75" thickBot="1" x14ac:dyDescent="0.3">
      <c r="E485" s="17"/>
    </row>
    <row r="486" spans="5:5" ht="15.75" thickBot="1" x14ac:dyDescent="0.3">
      <c r="E486" s="17"/>
    </row>
    <row r="487" spans="5:5" ht="15.75" thickBot="1" x14ac:dyDescent="0.3">
      <c r="E487" s="17"/>
    </row>
    <row r="488" spans="5:5" ht="15.75" thickBot="1" x14ac:dyDescent="0.3">
      <c r="E488" s="17"/>
    </row>
    <row r="489" spans="5:5" ht="15.75" thickBot="1" x14ac:dyDescent="0.3">
      <c r="E489" s="17"/>
    </row>
    <row r="490" spans="5:5" ht="15.75" thickBot="1" x14ac:dyDescent="0.3">
      <c r="E490" s="17"/>
    </row>
    <row r="491" spans="5:5" ht="15.75" thickBot="1" x14ac:dyDescent="0.3">
      <c r="E491" s="17"/>
    </row>
    <row r="492" spans="5:5" ht="15.75" thickBot="1" x14ac:dyDescent="0.3">
      <c r="E492" s="17"/>
    </row>
    <row r="493" spans="5:5" ht="15.75" thickBot="1" x14ac:dyDescent="0.3">
      <c r="E493" s="17"/>
    </row>
    <row r="494" spans="5:5" ht="15.75" thickBot="1" x14ac:dyDescent="0.3">
      <c r="E494" s="17"/>
    </row>
    <row r="495" spans="5:5" ht="15.75" thickBot="1" x14ac:dyDescent="0.3">
      <c r="E495" s="17"/>
    </row>
    <row r="496" spans="5:5" ht="15.75" thickBot="1" x14ac:dyDescent="0.3">
      <c r="E496" s="17"/>
    </row>
    <row r="497" spans="5:5" ht="15.75" thickBot="1" x14ac:dyDescent="0.3">
      <c r="E497" s="17"/>
    </row>
    <row r="498" spans="5:5" ht="15.75" thickBot="1" x14ac:dyDescent="0.3">
      <c r="E498" s="17"/>
    </row>
    <row r="499" spans="5:5" ht="15.75" thickBot="1" x14ac:dyDescent="0.3">
      <c r="E499" s="17"/>
    </row>
    <row r="500" spans="5:5" ht="15.75" thickBot="1" x14ac:dyDescent="0.3">
      <c r="E500" s="17"/>
    </row>
    <row r="501" spans="5:5" ht="15.75" thickBot="1" x14ac:dyDescent="0.3">
      <c r="E501" s="17"/>
    </row>
    <row r="502" spans="5:5" ht="15.75" thickBot="1" x14ac:dyDescent="0.3">
      <c r="E502" s="17"/>
    </row>
    <row r="503" spans="5:5" ht="15.75" thickBot="1" x14ac:dyDescent="0.3">
      <c r="E503" s="17"/>
    </row>
    <row r="504" spans="5:5" ht="15.75" thickBot="1" x14ac:dyDescent="0.3">
      <c r="E504" s="17"/>
    </row>
    <row r="505" spans="5:5" ht="15.75" thickBot="1" x14ac:dyDescent="0.3">
      <c r="E505" s="17"/>
    </row>
    <row r="506" spans="5:5" ht="15.75" thickBot="1" x14ac:dyDescent="0.3">
      <c r="E506" s="17"/>
    </row>
    <row r="507" spans="5:5" ht="15.75" thickBot="1" x14ac:dyDescent="0.3">
      <c r="E507" s="17"/>
    </row>
    <row r="508" spans="5:5" ht="15.75" thickBot="1" x14ac:dyDescent="0.3">
      <c r="E508" s="17"/>
    </row>
    <row r="509" spans="5:5" ht="15.75" thickBot="1" x14ac:dyDescent="0.3">
      <c r="E509" s="17"/>
    </row>
    <row r="510" spans="5:5" ht="15.75" thickBot="1" x14ac:dyDescent="0.3">
      <c r="E510" s="17"/>
    </row>
    <row r="511" spans="5:5" ht="15.75" thickBot="1" x14ac:dyDescent="0.3">
      <c r="E511" s="17"/>
    </row>
    <row r="512" spans="5:5" ht="15.75" thickBot="1" x14ac:dyDescent="0.3">
      <c r="E512" s="17"/>
    </row>
    <row r="513" spans="5:5" ht="15.75" thickBot="1" x14ac:dyDescent="0.3">
      <c r="E513" s="17"/>
    </row>
    <row r="514" spans="5:5" ht="15.75" thickBot="1" x14ac:dyDescent="0.3">
      <c r="E514" s="17"/>
    </row>
    <row r="515" spans="5:5" ht="15.75" thickBot="1" x14ac:dyDescent="0.3">
      <c r="E515" s="17"/>
    </row>
    <row r="516" spans="5:5" ht="15.75" thickBot="1" x14ac:dyDescent="0.3">
      <c r="E516" s="17"/>
    </row>
    <row r="517" spans="5:5" ht="15.75" thickBot="1" x14ac:dyDescent="0.3">
      <c r="E517" s="17"/>
    </row>
    <row r="518" spans="5:5" ht="15.75" thickBot="1" x14ac:dyDescent="0.3">
      <c r="E518" s="17"/>
    </row>
    <row r="519" spans="5:5" ht="15.75" thickBot="1" x14ac:dyDescent="0.3">
      <c r="E519" s="17"/>
    </row>
    <row r="520" spans="5:5" ht="15.75" thickBot="1" x14ac:dyDescent="0.3">
      <c r="E520" s="17"/>
    </row>
    <row r="521" spans="5:5" ht="15.75" thickBot="1" x14ac:dyDescent="0.3">
      <c r="E521" s="17"/>
    </row>
    <row r="522" spans="5:5" ht="15.75" thickBot="1" x14ac:dyDescent="0.3">
      <c r="E522" s="17"/>
    </row>
    <row r="523" spans="5:5" ht="15.75" thickBot="1" x14ac:dyDescent="0.3">
      <c r="E523" s="17"/>
    </row>
    <row r="524" spans="5:5" ht="15.75" thickBot="1" x14ac:dyDescent="0.3">
      <c r="E524" s="17"/>
    </row>
    <row r="525" spans="5:5" ht="15.75" thickBot="1" x14ac:dyDescent="0.3">
      <c r="E525" s="17"/>
    </row>
    <row r="526" spans="5:5" ht="15.75" thickBot="1" x14ac:dyDescent="0.3">
      <c r="E526" s="17"/>
    </row>
    <row r="527" spans="5:5" ht="15.75" thickBot="1" x14ac:dyDescent="0.3">
      <c r="E527" s="17"/>
    </row>
    <row r="528" spans="5:5" ht="15.75" thickBot="1" x14ac:dyDescent="0.3">
      <c r="E528" s="17"/>
    </row>
    <row r="529" spans="5:5" ht="15.75" thickBot="1" x14ac:dyDescent="0.3">
      <c r="E529" s="17"/>
    </row>
    <row r="530" spans="5:5" ht="15.75" thickBot="1" x14ac:dyDescent="0.3">
      <c r="E530" s="17"/>
    </row>
    <row r="531" spans="5:5" ht="15.75" thickBot="1" x14ac:dyDescent="0.3">
      <c r="E531" s="17"/>
    </row>
    <row r="532" spans="5:5" ht="15.75" thickBot="1" x14ac:dyDescent="0.3">
      <c r="E532" s="17"/>
    </row>
    <row r="533" spans="5:5" ht="15.75" thickBot="1" x14ac:dyDescent="0.3">
      <c r="E533" s="17"/>
    </row>
    <row r="534" spans="5:5" ht="15.75" thickBot="1" x14ac:dyDescent="0.3">
      <c r="E534" s="17"/>
    </row>
    <row r="535" spans="5:5" ht="15.75" thickBot="1" x14ac:dyDescent="0.3">
      <c r="E535" s="17"/>
    </row>
    <row r="536" spans="5:5" ht="15.75" thickBot="1" x14ac:dyDescent="0.3">
      <c r="E536" s="17"/>
    </row>
    <row r="537" spans="5:5" ht="15.75" thickBot="1" x14ac:dyDescent="0.3">
      <c r="E537" s="17"/>
    </row>
    <row r="538" spans="5:5" ht="15.75" thickBot="1" x14ac:dyDescent="0.3">
      <c r="E538" s="17"/>
    </row>
    <row r="539" spans="5:5" ht="15.75" thickBot="1" x14ac:dyDescent="0.3">
      <c r="E539" s="17"/>
    </row>
    <row r="540" spans="5:5" ht="15.75" thickBot="1" x14ac:dyDescent="0.3">
      <c r="E540" s="17"/>
    </row>
    <row r="541" spans="5:5" ht="15.75" thickBot="1" x14ac:dyDescent="0.3">
      <c r="E541" s="17"/>
    </row>
    <row r="542" spans="5:5" ht="15.75" thickBot="1" x14ac:dyDescent="0.3">
      <c r="E542" s="17"/>
    </row>
    <row r="543" spans="5:5" ht="15.75" thickBot="1" x14ac:dyDescent="0.3">
      <c r="E543" s="17"/>
    </row>
    <row r="544" spans="5:5" ht="15.75" thickBot="1" x14ac:dyDescent="0.3">
      <c r="E544" s="17"/>
    </row>
    <row r="545" spans="5:5" ht="15.75" thickBot="1" x14ac:dyDescent="0.3">
      <c r="E545" s="17"/>
    </row>
    <row r="546" spans="5:5" ht="15.75" thickBot="1" x14ac:dyDescent="0.3">
      <c r="E546" s="17"/>
    </row>
    <row r="547" spans="5:5" ht="15.75" thickBot="1" x14ac:dyDescent="0.3">
      <c r="E547" s="17"/>
    </row>
    <row r="548" spans="5:5" ht="15.75" thickBot="1" x14ac:dyDescent="0.3">
      <c r="E548" s="17"/>
    </row>
    <row r="549" spans="5:5" ht="15.75" thickBot="1" x14ac:dyDescent="0.3">
      <c r="E549" s="17"/>
    </row>
    <row r="550" spans="5:5" ht="15.75" thickBot="1" x14ac:dyDescent="0.3">
      <c r="E550" s="17"/>
    </row>
    <row r="551" spans="5:5" ht="15.75" thickBot="1" x14ac:dyDescent="0.3">
      <c r="E551" s="17"/>
    </row>
    <row r="552" spans="5:5" ht="15.75" thickBot="1" x14ac:dyDescent="0.3">
      <c r="E552" s="17"/>
    </row>
    <row r="553" spans="5:5" ht="15.75" thickBot="1" x14ac:dyDescent="0.3">
      <c r="E553" s="17"/>
    </row>
    <row r="554" spans="5:5" ht="15.75" thickBot="1" x14ac:dyDescent="0.3">
      <c r="E554" s="17"/>
    </row>
    <row r="555" spans="5:5" ht="15.75" thickBot="1" x14ac:dyDescent="0.3">
      <c r="E555" s="17"/>
    </row>
    <row r="556" spans="5:5" ht="15.75" thickBot="1" x14ac:dyDescent="0.3">
      <c r="E556" s="17"/>
    </row>
    <row r="557" spans="5:5" ht="15.75" thickBot="1" x14ac:dyDescent="0.3">
      <c r="E557" s="17"/>
    </row>
    <row r="558" spans="5:5" ht="15.75" thickBot="1" x14ac:dyDescent="0.3">
      <c r="E558" s="17"/>
    </row>
    <row r="559" spans="5:5" ht="15.75" thickBot="1" x14ac:dyDescent="0.3">
      <c r="E559" s="17"/>
    </row>
    <row r="560" spans="5:5" ht="15.75" thickBot="1" x14ac:dyDescent="0.3">
      <c r="E560" s="17"/>
    </row>
    <row r="561" spans="5:5" ht="15.75" thickBot="1" x14ac:dyDescent="0.3">
      <c r="E561" s="17"/>
    </row>
    <row r="562" spans="5:5" ht="15.75" thickBot="1" x14ac:dyDescent="0.3">
      <c r="E562" s="17"/>
    </row>
    <row r="563" spans="5:5" ht="15.75" thickBot="1" x14ac:dyDescent="0.3">
      <c r="E563" s="17"/>
    </row>
    <row r="564" spans="5:5" ht="15.75" thickBot="1" x14ac:dyDescent="0.3">
      <c r="E564" s="17"/>
    </row>
    <row r="565" spans="5:5" ht="15.75" thickBot="1" x14ac:dyDescent="0.3">
      <c r="E565" s="17"/>
    </row>
    <row r="566" spans="5:5" ht="15.75" thickBot="1" x14ac:dyDescent="0.3">
      <c r="E566" s="17"/>
    </row>
    <row r="567" spans="5:5" ht="15.75" thickBot="1" x14ac:dyDescent="0.3">
      <c r="E567" s="17"/>
    </row>
    <row r="568" spans="5:5" ht="15.75" thickBot="1" x14ac:dyDescent="0.3">
      <c r="E568" s="17"/>
    </row>
    <row r="569" spans="5:5" ht="15.75" thickBot="1" x14ac:dyDescent="0.3">
      <c r="E569" s="17"/>
    </row>
    <row r="570" spans="5:5" ht="15.75" thickBot="1" x14ac:dyDescent="0.3">
      <c r="E570" s="17"/>
    </row>
    <row r="571" spans="5:5" ht="15.75" thickBot="1" x14ac:dyDescent="0.3">
      <c r="E571" s="17"/>
    </row>
    <row r="572" spans="5:5" ht="15.75" thickBot="1" x14ac:dyDescent="0.3">
      <c r="E572" s="17"/>
    </row>
    <row r="573" spans="5:5" ht="15.75" thickBot="1" x14ac:dyDescent="0.3">
      <c r="E573" s="17"/>
    </row>
    <row r="574" spans="5:5" ht="15.75" thickBot="1" x14ac:dyDescent="0.3">
      <c r="E574" s="17"/>
    </row>
    <row r="575" spans="5:5" ht="15.75" thickBot="1" x14ac:dyDescent="0.3">
      <c r="E575" s="17"/>
    </row>
    <row r="576" spans="5:5" ht="15.75" thickBot="1" x14ac:dyDescent="0.3">
      <c r="E576" s="17"/>
    </row>
    <row r="577" spans="5:5" ht="15.75" thickBot="1" x14ac:dyDescent="0.3">
      <c r="E577" s="17"/>
    </row>
    <row r="578" spans="5:5" ht="15.75" thickBot="1" x14ac:dyDescent="0.3">
      <c r="E578" s="17"/>
    </row>
    <row r="579" spans="5:5" ht="15.75" thickBot="1" x14ac:dyDescent="0.3">
      <c r="E579" s="17"/>
    </row>
    <row r="580" spans="5:5" ht="15.75" thickBot="1" x14ac:dyDescent="0.3">
      <c r="E580" s="17"/>
    </row>
    <row r="581" spans="5:5" ht="15.75" thickBot="1" x14ac:dyDescent="0.3">
      <c r="E581" s="17"/>
    </row>
    <row r="582" spans="5:5" ht="15.75" thickBot="1" x14ac:dyDescent="0.3">
      <c r="E582" s="17"/>
    </row>
    <row r="583" spans="5:5" ht="15.75" thickBot="1" x14ac:dyDescent="0.3">
      <c r="E583" s="17"/>
    </row>
    <row r="584" spans="5:5" ht="15.75" thickBot="1" x14ac:dyDescent="0.3">
      <c r="E584" s="17"/>
    </row>
    <row r="585" spans="5:5" ht="15.75" thickBot="1" x14ac:dyDescent="0.3">
      <c r="E585" s="17"/>
    </row>
    <row r="586" spans="5:5" ht="15.75" thickBot="1" x14ac:dyDescent="0.3">
      <c r="E586" s="17"/>
    </row>
    <row r="587" spans="5:5" ht="15.75" thickBot="1" x14ac:dyDescent="0.3">
      <c r="E587" s="17"/>
    </row>
    <row r="588" spans="5:5" ht="15.75" thickBot="1" x14ac:dyDescent="0.3">
      <c r="E588" s="17"/>
    </row>
    <row r="589" spans="5:5" ht="15.75" thickBot="1" x14ac:dyDescent="0.3">
      <c r="E589" s="17"/>
    </row>
    <row r="590" spans="5:5" ht="15.75" thickBot="1" x14ac:dyDescent="0.3">
      <c r="E590" s="17"/>
    </row>
    <row r="591" spans="5:5" ht="15.75" thickBot="1" x14ac:dyDescent="0.3">
      <c r="E591" s="17"/>
    </row>
    <row r="592" spans="5:5" ht="15.75" thickBot="1" x14ac:dyDescent="0.3">
      <c r="E592" s="17"/>
    </row>
    <row r="593" spans="5:5" ht="15.75" thickBot="1" x14ac:dyDescent="0.3">
      <c r="E593" s="17"/>
    </row>
    <row r="594" spans="5:5" ht="15.75" thickBot="1" x14ac:dyDescent="0.3">
      <c r="E594" s="17"/>
    </row>
    <row r="595" spans="5:5" ht="15.75" thickBot="1" x14ac:dyDescent="0.3">
      <c r="E595" s="17"/>
    </row>
    <row r="596" spans="5:5" ht="15.75" thickBot="1" x14ac:dyDescent="0.3">
      <c r="E596" s="17"/>
    </row>
    <row r="597" spans="5:5" ht="15.75" thickBot="1" x14ac:dyDescent="0.3">
      <c r="E597" s="17"/>
    </row>
    <row r="598" spans="5:5" ht="15.75" thickBot="1" x14ac:dyDescent="0.3">
      <c r="E598" s="17"/>
    </row>
    <row r="599" spans="5:5" ht="15.75" thickBot="1" x14ac:dyDescent="0.3">
      <c r="E599" s="17"/>
    </row>
    <row r="600" spans="5:5" ht="15.75" thickBot="1" x14ac:dyDescent="0.3">
      <c r="E600" s="17"/>
    </row>
    <row r="601" spans="5:5" ht="15.75" thickBot="1" x14ac:dyDescent="0.3">
      <c r="E601" s="17"/>
    </row>
    <row r="602" spans="5:5" ht="15.75" thickBot="1" x14ac:dyDescent="0.3">
      <c r="E602" s="17"/>
    </row>
    <row r="603" spans="5:5" ht="15.75" thickBot="1" x14ac:dyDescent="0.3">
      <c r="E603" s="17"/>
    </row>
    <row r="604" spans="5:5" ht="15.75" thickBot="1" x14ac:dyDescent="0.3">
      <c r="E604" s="17"/>
    </row>
    <row r="605" spans="5:5" ht="15.75" thickBot="1" x14ac:dyDescent="0.3">
      <c r="E605" s="17"/>
    </row>
    <row r="606" spans="5:5" ht="15.75" thickBot="1" x14ac:dyDescent="0.3">
      <c r="E606" s="17"/>
    </row>
    <row r="607" spans="5:5" ht="15.75" thickBot="1" x14ac:dyDescent="0.3">
      <c r="E607" s="17"/>
    </row>
    <row r="608" spans="5:5" ht="15.75" thickBot="1" x14ac:dyDescent="0.3">
      <c r="E608" s="17"/>
    </row>
    <row r="609" spans="5:5" ht="15.75" thickBot="1" x14ac:dyDescent="0.3">
      <c r="E609" s="17"/>
    </row>
    <row r="610" spans="5:5" ht="15.75" thickBot="1" x14ac:dyDescent="0.3">
      <c r="E610" s="17"/>
    </row>
    <row r="611" spans="5:5" ht="15.75" thickBot="1" x14ac:dyDescent="0.3">
      <c r="E611" s="17"/>
    </row>
    <row r="612" spans="5:5" ht="15.75" thickBot="1" x14ac:dyDescent="0.3">
      <c r="E612" s="17"/>
    </row>
    <row r="613" spans="5:5" ht="15.75" thickBot="1" x14ac:dyDescent="0.3">
      <c r="E613" s="17"/>
    </row>
    <row r="614" spans="5:5" ht="15.75" thickBot="1" x14ac:dyDescent="0.3">
      <c r="E614" s="17"/>
    </row>
    <row r="615" spans="5:5" ht="15.75" thickBot="1" x14ac:dyDescent="0.3">
      <c r="E615" s="17"/>
    </row>
    <row r="616" spans="5:5" ht="15.75" thickBot="1" x14ac:dyDescent="0.3">
      <c r="E616" s="17"/>
    </row>
    <row r="617" spans="5:5" ht="15.75" thickBot="1" x14ac:dyDescent="0.3">
      <c r="E617" s="17"/>
    </row>
    <row r="618" spans="5:5" ht="15.75" thickBot="1" x14ac:dyDescent="0.3">
      <c r="E618" s="17"/>
    </row>
    <row r="619" spans="5:5" ht="15.75" thickBot="1" x14ac:dyDescent="0.3">
      <c r="E619" s="17"/>
    </row>
    <row r="620" spans="5:5" ht="15.75" thickBot="1" x14ac:dyDescent="0.3">
      <c r="E620" s="17"/>
    </row>
    <row r="621" spans="5:5" ht="15.75" thickBot="1" x14ac:dyDescent="0.3">
      <c r="E621" s="17"/>
    </row>
    <row r="622" spans="5:5" ht="15.75" thickBot="1" x14ac:dyDescent="0.3">
      <c r="E622" s="17"/>
    </row>
    <row r="623" spans="5:5" ht="15.75" thickBot="1" x14ac:dyDescent="0.3">
      <c r="E623" s="17"/>
    </row>
    <row r="624" spans="5:5" ht="15.75" thickBot="1" x14ac:dyDescent="0.3">
      <c r="E624" s="17"/>
    </row>
    <row r="625" spans="5:5" ht="15.75" thickBot="1" x14ac:dyDescent="0.3">
      <c r="E625" s="17"/>
    </row>
    <row r="626" spans="5:5" ht="15.75" thickBot="1" x14ac:dyDescent="0.3">
      <c r="E626" s="17"/>
    </row>
    <row r="627" spans="5:5" ht="15.75" thickBot="1" x14ac:dyDescent="0.3">
      <c r="E627" s="17"/>
    </row>
    <row r="628" spans="5:5" ht="15.75" thickBot="1" x14ac:dyDescent="0.3">
      <c r="E628" s="17"/>
    </row>
    <row r="629" spans="5:5" ht="15.75" thickBot="1" x14ac:dyDescent="0.3">
      <c r="E629" s="17"/>
    </row>
    <row r="630" spans="5:5" ht="15.75" thickBot="1" x14ac:dyDescent="0.3">
      <c r="E630" s="17"/>
    </row>
    <row r="631" spans="5:5" ht="15.75" thickBot="1" x14ac:dyDescent="0.3">
      <c r="E631" s="17"/>
    </row>
    <row r="632" spans="5:5" ht="15.75" thickBot="1" x14ac:dyDescent="0.3">
      <c r="E632" s="17"/>
    </row>
    <row r="633" spans="5:5" ht="15.75" thickBot="1" x14ac:dyDescent="0.3">
      <c r="E633" s="17"/>
    </row>
    <row r="634" spans="5:5" ht="15.75" thickBot="1" x14ac:dyDescent="0.3">
      <c r="E634" s="17"/>
    </row>
    <row r="635" spans="5:5" ht="15.75" thickBot="1" x14ac:dyDescent="0.3">
      <c r="E635" s="17"/>
    </row>
    <row r="636" spans="5:5" ht="15.75" thickBot="1" x14ac:dyDescent="0.3">
      <c r="E636" s="17"/>
    </row>
    <row r="637" spans="5:5" ht="15.75" thickBot="1" x14ac:dyDescent="0.3">
      <c r="E637" s="17"/>
    </row>
    <row r="638" spans="5:5" ht="15.75" thickBot="1" x14ac:dyDescent="0.3">
      <c r="E638" s="17"/>
    </row>
    <row r="639" spans="5:5" ht="15.75" thickBot="1" x14ac:dyDescent="0.3">
      <c r="E639" s="17"/>
    </row>
    <row r="640" spans="5:5" ht="15.75" thickBot="1" x14ac:dyDescent="0.3">
      <c r="E640" s="17"/>
    </row>
    <row r="641" spans="5:5" ht="15.75" thickBot="1" x14ac:dyDescent="0.3">
      <c r="E641" s="17"/>
    </row>
    <row r="642" spans="5:5" ht="15.75" thickBot="1" x14ac:dyDescent="0.3">
      <c r="E642" s="17"/>
    </row>
    <row r="643" spans="5:5" ht="15.75" thickBot="1" x14ac:dyDescent="0.3">
      <c r="E643" s="17"/>
    </row>
    <row r="644" spans="5:5" ht="15.75" thickBot="1" x14ac:dyDescent="0.3">
      <c r="E644" s="17"/>
    </row>
    <row r="645" spans="5:5" ht="15.75" thickBot="1" x14ac:dyDescent="0.3">
      <c r="E645" s="17"/>
    </row>
    <row r="646" spans="5:5" ht="15.75" thickBot="1" x14ac:dyDescent="0.3">
      <c r="E646" s="17"/>
    </row>
    <row r="647" spans="5:5" ht="15.75" thickBot="1" x14ac:dyDescent="0.3">
      <c r="E647" s="17"/>
    </row>
    <row r="648" spans="5:5" ht="15.75" thickBot="1" x14ac:dyDescent="0.3">
      <c r="E648" s="17"/>
    </row>
    <row r="649" spans="5:5" ht="15.75" thickBot="1" x14ac:dyDescent="0.3">
      <c r="E649" s="17"/>
    </row>
    <row r="650" spans="5:5" ht="15.75" thickBot="1" x14ac:dyDescent="0.3">
      <c r="E650" s="17"/>
    </row>
    <row r="651" spans="5:5" ht="15.75" thickBot="1" x14ac:dyDescent="0.3">
      <c r="E651" s="17"/>
    </row>
    <row r="652" spans="5:5" ht="15.75" thickBot="1" x14ac:dyDescent="0.3">
      <c r="E652" s="17"/>
    </row>
    <row r="653" spans="5:5" ht="15.75" thickBot="1" x14ac:dyDescent="0.3">
      <c r="E653" s="17"/>
    </row>
    <row r="654" spans="5:5" ht="15.75" thickBot="1" x14ac:dyDescent="0.3">
      <c r="E654" s="17"/>
    </row>
    <row r="655" spans="5:5" ht="15.75" thickBot="1" x14ac:dyDescent="0.3">
      <c r="E655" s="17"/>
    </row>
    <row r="656" spans="5:5" ht="15.75" thickBot="1" x14ac:dyDescent="0.3">
      <c r="E656" s="17"/>
    </row>
    <row r="657" spans="5:5" ht="15.75" thickBot="1" x14ac:dyDescent="0.3">
      <c r="E657" s="17"/>
    </row>
    <row r="658" spans="5:5" ht="15.75" thickBot="1" x14ac:dyDescent="0.3">
      <c r="E658" s="17"/>
    </row>
    <row r="659" spans="5:5" ht="15.75" thickBot="1" x14ac:dyDescent="0.3">
      <c r="E659" s="17"/>
    </row>
    <row r="660" spans="5:5" ht="15.75" thickBot="1" x14ac:dyDescent="0.3">
      <c r="E660" s="17"/>
    </row>
    <row r="661" spans="5:5" ht="15.75" thickBot="1" x14ac:dyDescent="0.3">
      <c r="E661" s="17"/>
    </row>
    <row r="662" spans="5:5" ht="15.75" thickBot="1" x14ac:dyDescent="0.3">
      <c r="E662" s="17"/>
    </row>
    <row r="663" spans="5:5" ht="15.75" thickBot="1" x14ac:dyDescent="0.3">
      <c r="E663" s="17"/>
    </row>
    <row r="664" spans="5:5" ht="15.75" thickBot="1" x14ac:dyDescent="0.3">
      <c r="E664" s="17"/>
    </row>
    <row r="665" spans="5:5" ht="15.75" thickBot="1" x14ac:dyDescent="0.3">
      <c r="E665" s="17"/>
    </row>
    <row r="666" spans="5:5" ht="15.75" thickBot="1" x14ac:dyDescent="0.3">
      <c r="E666" s="17"/>
    </row>
    <row r="667" spans="5:5" ht="15.75" thickBot="1" x14ac:dyDescent="0.3">
      <c r="E667" s="17"/>
    </row>
    <row r="668" spans="5:5" ht="15.75" thickBot="1" x14ac:dyDescent="0.3">
      <c r="E668" s="17"/>
    </row>
    <row r="669" spans="5:5" ht="15.75" thickBot="1" x14ac:dyDescent="0.3">
      <c r="E669" s="17"/>
    </row>
    <row r="670" spans="5:5" ht="15.75" thickBot="1" x14ac:dyDescent="0.3">
      <c r="E670" s="17"/>
    </row>
    <row r="671" spans="5:5" ht="15.75" thickBot="1" x14ac:dyDescent="0.3">
      <c r="E671" s="17"/>
    </row>
    <row r="672" spans="5:5" ht="15.75" thickBot="1" x14ac:dyDescent="0.3">
      <c r="E672" s="17"/>
    </row>
    <row r="673" spans="5:5" ht="15.75" thickBot="1" x14ac:dyDescent="0.3">
      <c r="E673" s="17"/>
    </row>
    <row r="674" spans="5:5" ht="15.75" thickBot="1" x14ac:dyDescent="0.3">
      <c r="E674" s="17"/>
    </row>
    <row r="675" spans="5:5" ht="15.75" thickBot="1" x14ac:dyDescent="0.3">
      <c r="E675" s="17"/>
    </row>
    <row r="676" spans="5:5" ht="15.75" thickBot="1" x14ac:dyDescent="0.3">
      <c r="E676" s="17"/>
    </row>
    <row r="677" spans="5:5" ht="15.75" thickBot="1" x14ac:dyDescent="0.3">
      <c r="E677" s="17"/>
    </row>
    <row r="678" spans="5:5" ht="15.75" thickBot="1" x14ac:dyDescent="0.3">
      <c r="E678" s="17"/>
    </row>
    <row r="679" spans="5:5" ht="15.75" thickBot="1" x14ac:dyDescent="0.3">
      <c r="E679" s="17"/>
    </row>
    <row r="680" spans="5:5" ht="15.75" thickBot="1" x14ac:dyDescent="0.3">
      <c r="E680" s="17"/>
    </row>
    <row r="681" spans="5:5" ht="15.75" thickBot="1" x14ac:dyDescent="0.3">
      <c r="E681" s="17"/>
    </row>
    <row r="682" spans="5:5" ht="15.75" thickBot="1" x14ac:dyDescent="0.3">
      <c r="E682" s="17"/>
    </row>
    <row r="683" spans="5:5" ht="15.75" thickBot="1" x14ac:dyDescent="0.3">
      <c r="E683" s="17"/>
    </row>
    <row r="684" spans="5:5" ht="15.75" thickBot="1" x14ac:dyDescent="0.3">
      <c r="E684" s="17"/>
    </row>
    <row r="685" spans="5:5" ht="15.75" thickBot="1" x14ac:dyDescent="0.3">
      <c r="E685" s="17"/>
    </row>
    <row r="686" spans="5:5" ht="15.75" thickBot="1" x14ac:dyDescent="0.3">
      <c r="E686" s="17"/>
    </row>
    <row r="687" spans="5:5" ht="15.75" thickBot="1" x14ac:dyDescent="0.3">
      <c r="E687" s="17"/>
    </row>
    <row r="688" spans="5:5" ht="15.75" thickBot="1" x14ac:dyDescent="0.3">
      <c r="E688" s="17"/>
    </row>
    <row r="689" spans="5:5" ht="15.75" thickBot="1" x14ac:dyDescent="0.3">
      <c r="E689" s="17"/>
    </row>
    <row r="690" spans="5:5" ht="15.75" thickBot="1" x14ac:dyDescent="0.3">
      <c r="E690" s="17"/>
    </row>
    <row r="691" spans="5:5" ht="15.75" thickBot="1" x14ac:dyDescent="0.3">
      <c r="E691" s="17"/>
    </row>
    <row r="692" spans="5:5" ht="15.75" thickBot="1" x14ac:dyDescent="0.3">
      <c r="E692" s="17"/>
    </row>
    <row r="693" spans="5:5" ht="15.75" thickBot="1" x14ac:dyDescent="0.3">
      <c r="E693" s="17"/>
    </row>
    <row r="694" spans="5:5" ht="15.75" thickBot="1" x14ac:dyDescent="0.3">
      <c r="E694" s="17"/>
    </row>
    <row r="695" spans="5:5" ht="15.75" thickBot="1" x14ac:dyDescent="0.3">
      <c r="E695" s="17"/>
    </row>
    <row r="696" spans="5:5" ht="15.75" thickBot="1" x14ac:dyDescent="0.3">
      <c r="E696" s="17"/>
    </row>
    <row r="697" spans="5:5" ht="15.75" thickBot="1" x14ac:dyDescent="0.3">
      <c r="E697" s="17"/>
    </row>
    <row r="698" spans="5:5" ht="15.75" thickBot="1" x14ac:dyDescent="0.3">
      <c r="E698" s="17"/>
    </row>
    <row r="699" spans="5:5" ht="15.75" thickBot="1" x14ac:dyDescent="0.3">
      <c r="E699" s="17"/>
    </row>
    <row r="700" spans="5:5" ht="15.75" thickBot="1" x14ac:dyDescent="0.3">
      <c r="E700" s="17"/>
    </row>
    <row r="701" spans="5:5" ht="15.75" thickBot="1" x14ac:dyDescent="0.3">
      <c r="E701" s="17"/>
    </row>
    <row r="702" spans="5:5" ht="15.75" thickBot="1" x14ac:dyDescent="0.3">
      <c r="E702" s="17"/>
    </row>
    <row r="703" spans="5:5" ht="15.75" thickBot="1" x14ac:dyDescent="0.3">
      <c r="E703" s="17"/>
    </row>
    <row r="704" spans="5:5" ht="15.75" thickBot="1" x14ac:dyDescent="0.3">
      <c r="E704" s="17"/>
    </row>
    <row r="705" spans="5:5" ht="15.75" thickBot="1" x14ac:dyDescent="0.3">
      <c r="E705" s="17"/>
    </row>
    <row r="706" spans="5:5" ht="15.75" thickBot="1" x14ac:dyDescent="0.3">
      <c r="E706" s="17"/>
    </row>
    <row r="707" spans="5:5" ht="15.75" thickBot="1" x14ac:dyDescent="0.3">
      <c r="E707" s="17"/>
    </row>
    <row r="708" spans="5:5" ht="15.75" thickBot="1" x14ac:dyDescent="0.3">
      <c r="E708" s="17"/>
    </row>
    <row r="709" spans="5:5" ht="15.75" thickBot="1" x14ac:dyDescent="0.3">
      <c r="E709" s="17"/>
    </row>
    <row r="710" spans="5:5" ht="15.75" thickBot="1" x14ac:dyDescent="0.3">
      <c r="E710" s="17"/>
    </row>
    <row r="711" spans="5:5" ht="15.75" thickBot="1" x14ac:dyDescent="0.3">
      <c r="E711" s="17"/>
    </row>
    <row r="712" spans="5:5" ht="15.75" thickBot="1" x14ac:dyDescent="0.3">
      <c r="E712" s="17"/>
    </row>
    <row r="713" spans="5:5" ht="15.75" thickBot="1" x14ac:dyDescent="0.3">
      <c r="E713" s="17"/>
    </row>
    <row r="714" spans="5:5" ht="15.75" thickBot="1" x14ac:dyDescent="0.3">
      <c r="E714" s="17"/>
    </row>
    <row r="715" spans="5:5" ht="15.75" thickBot="1" x14ac:dyDescent="0.3">
      <c r="E715" s="17"/>
    </row>
    <row r="716" spans="5:5" ht="15.75" thickBot="1" x14ac:dyDescent="0.3">
      <c r="E716" s="17"/>
    </row>
    <row r="717" spans="5:5" ht="15.75" thickBot="1" x14ac:dyDescent="0.3">
      <c r="E717" s="17"/>
    </row>
    <row r="718" spans="5:5" ht="15.75" thickBot="1" x14ac:dyDescent="0.3">
      <c r="E718" s="17"/>
    </row>
    <row r="719" spans="5:5" ht="15.75" thickBot="1" x14ac:dyDescent="0.3">
      <c r="E719" s="17"/>
    </row>
    <row r="720" spans="5:5" ht="15.75" thickBot="1" x14ac:dyDescent="0.3">
      <c r="E720" s="17"/>
    </row>
    <row r="721" spans="5:5" ht="15.75" thickBot="1" x14ac:dyDescent="0.3">
      <c r="E721" s="17"/>
    </row>
    <row r="722" spans="5:5" ht="15.75" thickBot="1" x14ac:dyDescent="0.3">
      <c r="E722" s="17"/>
    </row>
    <row r="723" spans="5:5" ht="15.75" thickBot="1" x14ac:dyDescent="0.3">
      <c r="E723" s="17"/>
    </row>
    <row r="724" spans="5:5" ht="15.75" thickBot="1" x14ac:dyDescent="0.3">
      <c r="E724" s="17"/>
    </row>
    <row r="725" spans="5:5" ht="15.75" thickBot="1" x14ac:dyDescent="0.3">
      <c r="E725" s="17"/>
    </row>
    <row r="726" spans="5:5" ht="15.75" thickBot="1" x14ac:dyDescent="0.3">
      <c r="E726" s="17"/>
    </row>
    <row r="727" spans="5:5" ht="15.75" thickBot="1" x14ac:dyDescent="0.3">
      <c r="E727" s="17"/>
    </row>
    <row r="728" spans="5:5" ht="15.75" thickBot="1" x14ac:dyDescent="0.3">
      <c r="E728" s="17"/>
    </row>
    <row r="729" spans="5:5" ht="15.75" thickBot="1" x14ac:dyDescent="0.3">
      <c r="E729" s="17"/>
    </row>
    <row r="730" spans="5:5" ht="15.75" thickBot="1" x14ac:dyDescent="0.3">
      <c r="E730" s="17"/>
    </row>
    <row r="731" spans="5:5" ht="15.75" thickBot="1" x14ac:dyDescent="0.3">
      <c r="E731" s="17"/>
    </row>
    <row r="732" spans="5:5" ht="15.75" thickBot="1" x14ac:dyDescent="0.3">
      <c r="E732" s="17"/>
    </row>
    <row r="733" spans="5:5" ht="15.75" thickBot="1" x14ac:dyDescent="0.3">
      <c r="E733" s="17"/>
    </row>
    <row r="734" spans="5:5" ht="15.75" thickBot="1" x14ac:dyDescent="0.3">
      <c r="E734" s="17"/>
    </row>
    <row r="735" spans="5:5" ht="15.75" thickBot="1" x14ac:dyDescent="0.3">
      <c r="E735" s="17"/>
    </row>
    <row r="736" spans="5:5" ht="15.75" thickBot="1" x14ac:dyDescent="0.3">
      <c r="E736" s="17"/>
    </row>
    <row r="737" spans="5:5" ht="15.75" thickBot="1" x14ac:dyDescent="0.3">
      <c r="E737" s="17"/>
    </row>
    <row r="738" spans="5:5" ht="15.75" thickBot="1" x14ac:dyDescent="0.3">
      <c r="E738" s="17"/>
    </row>
    <row r="739" spans="5:5" ht="15.75" thickBot="1" x14ac:dyDescent="0.3">
      <c r="E739" s="17"/>
    </row>
    <row r="740" spans="5:5" ht="15.75" thickBot="1" x14ac:dyDescent="0.3">
      <c r="E740" s="17"/>
    </row>
    <row r="741" spans="5:5" ht="15.75" thickBot="1" x14ac:dyDescent="0.3">
      <c r="E741" s="17"/>
    </row>
    <row r="742" spans="5:5" ht="15.75" thickBot="1" x14ac:dyDescent="0.3">
      <c r="E742" s="17"/>
    </row>
    <row r="743" spans="5:5" ht="15.75" thickBot="1" x14ac:dyDescent="0.3">
      <c r="E743" s="17"/>
    </row>
    <row r="744" spans="5:5" ht="15.75" thickBot="1" x14ac:dyDescent="0.3">
      <c r="E744" s="17"/>
    </row>
    <row r="745" spans="5:5" ht="15.75" thickBot="1" x14ac:dyDescent="0.3">
      <c r="E745" s="17"/>
    </row>
    <row r="746" spans="5:5" ht="15.75" thickBot="1" x14ac:dyDescent="0.3">
      <c r="E746" s="17"/>
    </row>
    <row r="747" spans="5:5" ht="15.75" thickBot="1" x14ac:dyDescent="0.3">
      <c r="E747" s="17"/>
    </row>
    <row r="748" spans="5:5" ht="15.75" thickBot="1" x14ac:dyDescent="0.3">
      <c r="E748" s="17"/>
    </row>
    <row r="749" spans="5:5" ht="15.75" thickBot="1" x14ac:dyDescent="0.3">
      <c r="E749" s="17"/>
    </row>
    <row r="750" spans="5:5" ht="15.75" thickBot="1" x14ac:dyDescent="0.3">
      <c r="E750" s="17"/>
    </row>
    <row r="751" spans="5:5" ht="15.75" thickBot="1" x14ac:dyDescent="0.3">
      <c r="E751" s="17"/>
    </row>
    <row r="752" spans="5:5" ht="15.75" thickBot="1" x14ac:dyDescent="0.3">
      <c r="E752" s="17"/>
    </row>
    <row r="753" spans="5:5" ht="15.75" thickBot="1" x14ac:dyDescent="0.3">
      <c r="E753" s="17"/>
    </row>
    <row r="754" spans="5:5" ht="15.75" thickBot="1" x14ac:dyDescent="0.3">
      <c r="E754" s="17"/>
    </row>
    <row r="755" spans="5:5" ht="15.75" thickBot="1" x14ac:dyDescent="0.3">
      <c r="E755" s="17"/>
    </row>
    <row r="756" spans="5:5" ht="15.75" thickBot="1" x14ac:dyDescent="0.3">
      <c r="E756" s="17"/>
    </row>
    <row r="757" spans="5:5" ht="15.75" thickBot="1" x14ac:dyDescent="0.3">
      <c r="E757" s="17"/>
    </row>
    <row r="758" spans="5:5" ht="15.75" thickBot="1" x14ac:dyDescent="0.3">
      <c r="E758" s="17"/>
    </row>
    <row r="759" spans="5:5" ht="15.75" thickBot="1" x14ac:dyDescent="0.3">
      <c r="E759" s="17"/>
    </row>
    <row r="760" spans="5:5" ht="15.75" thickBot="1" x14ac:dyDescent="0.3">
      <c r="E760" s="17"/>
    </row>
    <row r="761" spans="5:5" ht="15.75" thickBot="1" x14ac:dyDescent="0.3">
      <c r="E761" s="17"/>
    </row>
    <row r="762" spans="5:5" ht="15.75" thickBot="1" x14ac:dyDescent="0.3">
      <c r="E762" s="17"/>
    </row>
    <row r="763" spans="5:5" ht="15.75" thickBot="1" x14ac:dyDescent="0.3">
      <c r="E763" s="17"/>
    </row>
    <row r="764" spans="5:5" ht="15.75" thickBot="1" x14ac:dyDescent="0.3">
      <c r="E764" s="17"/>
    </row>
    <row r="765" spans="5:5" ht="15.75" thickBot="1" x14ac:dyDescent="0.3">
      <c r="E765" s="17"/>
    </row>
    <row r="766" spans="5:5" ht="15.75" thickBot="1" x14ac:dyDescent="0.3">
      <c r="E766" s="17"/>
    </row>
    <row r="767" spans="5:5" ht="15.75" thickBot="1" x14ac:dyDescent="0.3">
      <c r="E767" s="17"/>
    </row>
    <row r="768" spans="5:5" ht="15.75" thickBot="1" x14ac:dyDescent="0.3">
      <c r="E768" s="17"/>
    </row>
    <row r="769" spans="5:5" ht="15.75" thickBot="1" x14ac:dyDescent="0.3">
      <c r="E769" s="17"/>
    </row>
    <row r="770" spans="5:5" ht="15.75" thickBot="1" x14ac:dyDescent="0.3">
      <c r="E770" s="17"/>
    </row>
    <row r="771" spans="5:5" ht="15.75" thickBot="1" x14ac:dyDescent="0.3">
      <c r="E771" s="17"/>
    </row>
    <row r="772" spans="5:5" ht="15.75" thickBot="1" x14ac:dyDescent="0.3">
      <c r="E772" s="17"/>
    </row>
    <row r="773" spans="5:5" ht="15.75" thickBot="1" x14ac:dyDescent="0.3">
      <c r="E773" s="17"/>
    </row>
    <row r="774" spans="5:5" ht="15.75" thickBot="1" x14ac:dyDescent="0.3">
      <c r="E774" s="17"/>
    </row>
    <row r="775" spans="5:5" ht="15.75" thickBot="1" x14ac:dyDescent="0.3">
      <c r="E775" s="17"/>
    </row>
    <row r="776" spans="5:5" ht="15.75" thickBot="1" x14ac:dyDescent="0.3">
      <c r="E776" s="17"/>
    </row>
    <row r="777" spans="5:5" ht="15.75" thickBot="1" x14ac:dyDescent="0.3">
      <c r="E777" s="17"/>
    </row>
    <row r="778" spans="5:5" ht="15.75" thickBot="1" x14ac:dyDescent="0.3">
      <c r="E778" s="17"/>
    </row>
    <row r="779" spans="5:5" ht="15.75" thickBot="1" x14ac:dyDescent="0.3">
      <c r="E779" s="17"/>
    </row>
    <row r="780" spans="5:5" ht="15.75" thickBot="1" x14ac:dyDescent="0.3">
      <c r="E780" s="17"/>
    </row>
    <row r="781" spans="5:5" ht="15.75" thickBot="1" x14ac:dyDescent="0.3">
      <c r="E781" s="17"/>
    </row>
    <row r="782" spans="5:5" ht="15.75" thickBot="1" x14ac:dyDescent="0.3">
      <c r="E782" s="17"/>
    </row>
    <row r="783" spans="5:5" ht="15.75" thickBot="1" x14ac:dyDescent="0.3">
      <c r="E783" s="17"/>
    </row>
    <row r="784" spans="5:5" ht="15.75" thickBot="1" x14ac:dyDescent="0.3">
      <c r="E784" s="17"/>
    </row>
    <row r="785" spans="5:5" ht="15.75" thickBot="1" x14ac:dyDescent="0.3">
      <c r="E785" s="17"/>
    </row>
    <row r="786" spans="5:5" ht="15.75" thickBot="1" x14ac:dyDescent="0.3">
      <c r="E786" s="17"/>
    </row>
    <row r="787" spans="5:5" ht="15.75" thickBot="1" x14ac:dyDescent="0.3">
      <c r="E787" s="17"/>
    </row>
    <row r="788" spans="5:5" ht="15.75" thickBot="1" x14ac:dyDescent="0.3">
      <c r="E788" s="17"/>
    </row>
    <row r="789" spans="5:5" ht="15.75" thickBot="1" x14ac:dyDescent="0.3">
      <c r="E789" s="17"/>
    </row>
    <row r="790" spans="5:5" ht="15.75" thickBot="1" x14ac:dyDescent="0.3">
      <c r="E790" s="17"/>
    </row>
    <row r="791" spans="5:5" ht="15.75" thickBot="1" x14ac:dyDescent="0.3">
      <c r="E791" s="17"/>
    </row>
    <row r="792" spans="5:5" ht="15.75" thickBot="1" x14ac:dyDescent="0.3">
      <c r="E792" s="17"/>
    </row>
    <row r="793" spans="5:5" ht="15.75" thickBot="1" x14ac:dyDescent="0.3">
      <c r="E793" s="17"/>
    </row>
    <row r="794" spans="5:5" ht="15.75" thickBot="1" x14ac:dyDescent="0.3">
      <c r="E794" s="17"/>
    </row>
    <row r="795" spans="5:5" ht="15.75" thickBot="1" x14ac:dyDescent="0.3">
      <c r="E795" s="17"/>
    </row>
    <row r="796" spans="5:5" ht="15.75" thickBot="1" x14ac:dyDescent="0.3">
      <c r="E796" s="17"/>
    </row>
    <row r="797" spans="5:5" ht="15.75" thickBot="1" x14ac:dyDescent="0.3">
      <c r="E797" s="17"/>
    </row>
    <row r="798" spans="5:5" ht="15.75" thickBot="1" x14ac:dyDescent="0.3">
      <c r="E798" s="17"/>
    </row>
    <row r="799" spans="5:5" ht="15.75" thickBot="1" x14ac:dyDescent="0.3">
      <c r="E799" s="17"/>
    </row>
    <row r="800" spans="5:5" ht="15.75" thickBot="1" x14ac:dyDescent="0.3">
      <c r="E800" s="17"/>
    </row>
    <row r="801" spans="5:5" ht="15.75" thickBot="1" x14ac:dyDescent="0.3">
      <c r="E801" s="17"/>
    </row>
    <row r="802" spans="5:5" ht="15.75" thickBot="1" x14ac:dyDescent="0.3">
      <c r="E802" s="17"/>
    </row>
    <row r="803" spans="5:5" ht="15.75" thickBot="1" x14ac:dyDescent="0.3">
      <c r="E803" s="17"/>
    </row>
    <row r="804" spans="5:5" ht="15.75" thickBot="1" x14ac:dyDescent="0.3">
      <c r="E804" s="17"/>
    </row>
    <row r="805" spans="5:5" ht="15.75" thickBot="1" x14ac:dyDescent="0.3">
      <c r="E805" s="17"/>
    </row>
    <row r="806" spans="5:5" ht="15.75" thickBot="1" x14ac:dyDescent="0.3">
      <c r="E806" s="17"/>
    </row>
    <row r="807" spans="5:5" ht="15.75" thickBot="1" x14ac:dyDescent="0.3">
      <c r="E807" s="17"/>
    </row>
    <row r="808" spans="5:5" ht="15.75" thickBot="1" x14ac:dyDescent="0.3">
      <c r="E808" s="17"/>
    </row>
    <row r="809" spans="5:5" ht="15.75" thickBot="1" x14ac:dyDescent="0.3">
      <c r="E809" s="17"/>
    </row>
    <row r="810" spans="5:5" ht="15.75" thickBot="1" x14ac:dyDescent="0.3">
      <c r="E810" s="17"/>
    </row>
    <row r="811" spans="5:5" ht="15.75" thickBot="1" x14ac:dyDescent="0.3">
      <c r="E811" s="17"/>
    </row>
    <row r="812" spans="5:5" ht="15.75" thickBot="1" x14ac:dyDescent="0.3">
      <c r="E812" s="17"/>
    </row>
    <row r="813" spans="5:5" ht="15.75" thickBot="1" x14ac:dyDescent="0.3">
      <c r="E813" s="17"/>
    </row>
    <row r="814" spans="5:5" ht="15.75" thickBot="1" x14ac:dyDescent="0.3">
      <c r="E814" s="17"/>
    </row>
    <row r="815" spans="5:5" ht="15.75" thickBot="1" x14ac:dyDescent="0.3">
      <c r="E815" s="17"/>
    </row>
    <row r="816" spans="5:5" ht="15.75" thickBot="1" x14ac:dyDescent="0.3">
      <c r="E816" s="17"/>
    </row>
    <row r="817" spans="5:5" ht="15.75" thickBot="1" x14ac:dyDescent="0.3">
      <c r="E817" s="17"/>
    </row>
    <row r="818" spans="5:5" ht="15.75" thickBot="1" x14ac:dyDescent="0.3">
      <c r="E818" s="17"/>
    </row>
    <row r="819" spans="5:5" ht="15.75" thickBot="1" x14ac:dyDescent="0.3">
      <c r="E819" s="17"/>
    </row>
    <row r="820" spans="5:5" ht="15.75" thickBot="1" x14ac:dyDescent="0.3">
      <c r="E820" s="17"/>
    </row>
    <row r="821" spans="5:5" ht="15.75" thickBot="1" x14ac:dyDescent="0.3">
      <c r="E821" s="17"/>
    </row>
    <row r="822" spans="5:5" ht="15.75" thickBot="1" x14ac:dyDescent="0.3">
      <c r="E822" s="17"/>
    </row>
    <row r="823" spans="5:5" ht="15.75" thickBot="1" x14ac:dyDescent="0.3">
      <c r="E823" s="17"/>
    </row>
    <row r="824" spans="5:5" ht="15.75" thickBot="1" x14ac:dyDescent="0.3">
      <c r="E824" s="17"/>
    </row>
    <row r="825" spans="5:5" ht="15.75" thickBot="1" x14ac:dyDescent="0.3">
      <c r="E825" s="17"/>
    </row>
    <row r="826" spans="5:5" ht="15.75" thickBot="1" x14ac:dyDescent="0.3">
      <c r="E826" s="17"/>
    </row>
    <row r="827" spans="5:5" ht="15.75" thickBot="1" x14ac:dyDescent="0.3">
      <c r="E827" s="17"/>
    </row>
    <row r="828" spans="5:5" ht="15.75" thickBot="1" x14ac:dyDescent="0.3">
      <c r="E828" s="17"/>
    </row>
    <row r="829" spans="5:5" ht="15.75" thickBot="1" x14ac:dyDescent="0.3">
      <c r="E829" s="17"/>
    </row>
    <row r="830" spans="5:5" ht="15.75" thickBot="1" x14ac:dyDescent="0.3">
      <c r="E830" s="17"/>
    </row>
    <row r="831" spans="5:5" ht="15.75" thickBot="1" x14ac:dyDescent="0.3">
      <c r="E831" s="17"/>
    </row>
    <row r="832" spans="5:5" ht="15.75" thickBot="1" x14ac:dyDescent="0.3">
      <c r="E832" s="17"/>
    </row>
    <row r="833" spans="5:5" ht="15.75" thickBot="1" x14ac:dyDescent="0.3">
      <c r="E833" s="17"/>
    </row>
    <row r="834" spans="5:5" ht="15.75" thickBot="1" x14ac:dyDescent="0.3">
      <c r="E834" s="17"/>
    </row>
    <row r="835" spans="5:5" ht="15.75" thickBot="1" x14ac:dyDescent="0.3">
      <c r="E835" s="17"/>
    </row>
    <row r="836" spans="5:5" ht="15.75" thickBot="1" x14ac:dyDescent="0.3">
      <c r="E836" s="17"/>
    </row>
    <row r="837" spans="5:5" ht="15.75" thickBot="1" x14ac:dyDescent="0.3">
      <c r="E837" s="17"/>
    </row>
    <row r="838" spans="5:5" ht="15.75" thickBot="1" x14ac:dyDescent="0.3">
      <c r="E838" s="17"/>
    </row>
    <row r="839" spans="5:5" ht="15.75" thickBot="1" x14ac:dyDescent="0.3">
      <c r="E839" s="17"/>
    </row>
    <row r="840" spans="5:5" ht="15.75" thickBot="1" x14ac:dyDescent="0.3">
      <c r="E840" s="17"/>
    </row>
    <row r="841" spans="5:5" ht="15.75" thickBot="1" x14ac:dyDescent="0.3">
      <c r="E841" s="17"/>
    </row>
    <row r="842" spans="5:5" ht="15.75" thickBot="1" x14ac:dyDescent="0.3">
      <c r="E842" s="17"/>
    </row>
    <row r="843" spans="5:5" ht="15.75" thickBot="1" x14ac:dyDescent="0.3">
      <c r="E843" s="17"/>
    </row>
    <row r="844" spans="5:5" ht="15.75" thickBot="1" x14ac:dyDescent="0.3">
      <c r="E844" s="17"/>
    </row>
    <row r="845" spans="5:5" ht="15.75" thickBot="1" x14ac:dyDescent="0.3">
      <c r="E845" s="17"/>
    </row>
    <row r="846" spans="5:5" ht="15.75" thickBot="1" x14ac:dyDescent="0.3">
      <c r="E846" s="17"/>
    </row>
    <row r="847" spans="5:5" ht="15.75" thickBot="1" x14ac:dyDescent="0.3">
      <c r="E847" s="17"/>
    </row>
    <row r="848" spans="5:5" ht="15.75" thickBot="1" x14ac:dyDescent="0.3">
      <c r="E848" s="17"/>
    </row>
    <row r="849" spans="5:5" ht="15.75" thickBot="1" x14ac:dyDescent="0.3">
      <c r="E849" s="17"/>
    </row>
    <row r="850" spans="5:5" ht="15.75" thickBot="1" x14ac:dyDescent="0.3">
      <c r="E850" s="17"/>
    </row>
    <row r="851" spans="5:5" ht="15.75" thickBot="1" x14ac:dyDescent="0.3">
      <c r="E851" s="17"/>
    </row>
    <row r="852" spans="5:5" ht="15.75" thickBot="1" x14ac:dyDescent="0.3">
      <c r="E852" s="17"/>
    </row>
    <row r="853" spans="5:5" ht="15.75" thickBot="1" x14ac:dyDescent="0.3">
      <c r="E853" s="17"/>
    </row>
    <row r="854" spans="5:5" ht="15.75" thickBot="1" x14ac:dyDescent="0.3">
      <c r="E854" s="17"/>
    </row>
    <row r="855" spans="5:5" ht="15.75" thickBot="1" x14ac:dyDescent="0.3">
      <c r="E855" s="17"/>
    </row>
    <row r="856" spans="5:5" ht="15.75" thickBot="1" x14ac:dyDescent="0.3">
      <c r="E856" s="17"/>
    </row>
    <row r="857" spans="5:5" ht="15.75" thickBot="1" x14ac:dyDescent="0.3">
      <c r="E857" s="17"/>
    </row>
    <row r="858" spans="5:5" ht="15.75" thickBot="1" x14ac:dyDescent="0.3">
      <c r="E858" s="17"/>
    </row>
    <row r="859" spans="5:5" ht="15.75" thickBot="1" x14ac:dyDescent="0.3">
      <c r="E859" s="17"/>
    </row>
    <row r="860" spans="5:5" ht="15.75" thickBot="1" x14ac:dyDescent="0.3">
      <c r="E860" s="17"/>
    </row>
    <row r="861" spans="5:5" ht="15.75" thickBot="1" x14ac:dyDescent="0.3">
      <c r="E861" s="17"/>
    </row>
    <row r="862" spans="5:5" ht="15.75" thickBot="1" x14ac:dyDescent="0.3">
      <c r="E862" s="17"/>
    </row>
    <row r="863" spans="5:5" ht="15.75" thickBot="1" x14ac:dyDescent="0.3">
      <c r="E863" s="17"/>
    </row>
    <row r="864" spans="5:5" ht="15.75" thickBot="1" x14ac:dyDescent="0.3">
      <c r="E864" s="17"/>
    </row>
    <row r="865" spans="5:5" ht="15.75" thickBot="1" x14ac:dyDescent="0.3">
      <c r="E865" s="17"/>
    </row>
    <row r="866" spans="5:5" ht="15.75" thickBot="1" x14ac:dyDescent="0.3">
      <c r="E866" s="17"/>
    </row>
    <row r="867" spans="5:5" ht="15.75" thickBot="1" x14ac:dyDescent="0.3">
      <c r="E867" s="17"/>
    </row>
    <row r="868" spans="5:5" ht="15.75" thickBot="1" x14ac:dyDescent="0.3">
      <c r="E868" s="17"/>
    </row>
    <row r="869" spans="5:5" ht="15.75" thickBot="1" x14ac:dyDescent="0.3">
      <c r="E869" s="17"/>
    </row>
    <row r="870" spans="5:5" ht="15.75" thickBot="1" x14ac:dyDescent="0.3">
      <c r="E870" s="17"/>
    </row>
    <row r="871" spans="5:5" ht="15.75" thickBot="1" x14ac:dyDescent="0.3">
      <c r="E871" s="17"/>
    </row>
    <row r="872" spans="5:5" ht="15.75" thickBot="1" x14ac:dyDescent="0.3">
      <c r="E872" s="17"/>
    </row>
    <row r="873" spans="5:5" ht="15.75" thickBot="1" x14ac:dyDescent="0.3">
      <c r="E873" s="17"/>
    </row>
    <row r="874" spans="5:5" ht="15.75" thickBot="1" x14ac:dyDescent="0.3">
      <c r="E874" s="17"/>
    </row>
    <row r="875" spans="5:5" ht="15.75" thickBot="1" x14ac:dyDescent="0.3">
      <c r="E875" s="17"/>
    </row>
    <row r="876" spans="5:5" ht="15.75" thickBot="1" x14ac:dyDescent="0.3">
      <c r="E876" s="17"/>
    </row>
    <row r="877" spans="5:5" ht="15.75" thickBot="1" x14ac:dyDescent="0.3">
      <c r="E877" s="17"/>
    </row>
    <row r="878" spans="5:5" ht="15.75" thickBot="1" x14ac:dyDescent="0.3">
      <c r="E878" s="17"/>
    </row>
    <row r="879" spans="5:5" ht="15.75" thickBot="1" x14ac:dyDescent="0.3">
      <c r="E879" s="17"/>
    </row>
    <row r="880" spans="5:5" ht="15.75" thickBot="1" x14ac:dyDescent="0.3">
      <c r="E880" s="17"/>
    </row>
    <row r="881" spans="5:5" ht="15.75" thickBot="1" x14ac:dyDescent="0.3">
      <c r="E881" s="17"/>
    </row>
    <row r="882" spans="5:5" ht="15.75" thickBot="1" x14ac:dyDescent="0.3">
      <c r="E882" s="17"/>
    </row>
    <row r="883" spans="5:5" ht="15.75" thickBot="1" x14ac:dyDescent="0.3">
      <c r="E883" s="17"/>
    </row>
    <row r="884" spans="5:5" ht="15.75" thickBot="1" x14ac:dyDescent="0.3">
      <c r="E884" s="17"/>
    </row>
    <row r="885" spans="5:5" ht="15.75" thickBot="1" x14ac:dyDescent="0.3">
      <c r="E885" s="17"/>
    </row>
    <row r="886" spans="5:5" ht="15.75" thickBot="1" x14ac:dyDescent="0.3">
      <c r="E886" s="17"/>
    </row>
    <row r="887" spans="5:5" ht="15.75" thickBot="1" x14ac:dyDescent="0.3">
      <c r="E887" s="17"/>
    </row>
    <row r="888" spans="5:5" ht="15.75" thickBot="1" x14ac:dyDescent="0.3">
      <c r="E888" s="17"/>
    </row>
    <row r="889" spans="5:5" ht="15.75" thickBot="1" x14ac:dyDescent="0.3">
      <c r="E889" s="17"/>
    </row>
    <row r="890" spans="5:5" ht="15.75" thickBot="1" x14ac:dyDescent="0.3">
      <c r="E890" s="17"/>
    </row>
    <row r="891" spans="5:5" ht="15.75" thickBot="1" x14ac:dyDescent="0.3">
      <c r="E891" s="17"/>
    </row>
    <row r="892" spans="5:5" ht="15.75" thickBot="1" x14ac:dyDescent="0.3">
      <c r="E892" s="17"/>
    </row>
    <row r="893" spans="5:5" ht="15.75" thickBot="1" x14ac:dyDescent="0.3">
      <c r="E893" s="17"/>
    </row>
    <row r="894" spans="5:5" ht="15.75" thickBot="1" x14ac:dyDescent="0.3">
      <c r="E894" s="17"/>
    </row>
    <row r="895" spans="5:5" ht="15.75" thickBot="1" x14ac:dyDescent="0.3">
      <c r="E895" s="17"/>
    </row>
    <row r="896" spans="5:5" ht="15.75" thickBot="1" x14ac:dyDescent="0.3">
      <c r="E896" s="17"/>
    </row>
    <row r="897" spans="5:5" ht="15.75" thickBot="1" x14ac:dyDescent="0.3">
      <c r="E897" s="17"/>
    </row>
    <row r="898" spans="5:5" ht="15.75" thickBot="1" x14ac:dyDescent="0.3">
      <c r="E898" s="17"/>
    </row>
    <row r="899" spans="5:5" ht="15.75" thickBot="1" x14ac:dyDescent="0.3">
      <c r="E899" s="17"/>
    </row>
    <row r="900" spans="5:5" ht="15.75" thickBot="1" x14ac:dyDescent="0.3">
      <c r="E900" s="17"/>
    </row>
    <row r="901" spans="5:5" ht="15.75" thickBot="1" x14ac:dyDescent="0.3">
      <c r="E901" s="17"/>
    </row>
    <row r="902" spans="5:5" ht="15.75" thickBot="1" x14ac:dyDescent="0.3">
      <c r="E902" s="17"/>
    </row>
    <row r="903" spans="5:5" ht="15.75" thickBot="1" x14ac:dyDescent="0.3">
      <c r="E903" s="17"/>
    </row>
    <row r="904" spans="5:5" ht="15.75" thickBot="1" x14ac:dyDescent="0.3">
      <c r="E904" s="17"/>
    </row>
    <row r="905" spans="5:5" ht="15.75" thickBot="1" x14ac:dyDescent="0.3">
      <c r="E905" s="17"/>
    </row>
    <row r="906" spans="5:5" ht="15.75" thickBot="1" x14ac:dyDescent="0.3">
      <c r="E906" s="17"/>
    </row>
    <row r="907" spans="5:5" ht="15.75" thickBot="1" x14ac:dyDescent="0.3">
      <c r="E907" s="17"/>
    </row>
    <row r="908" spans="5:5" ht="15.75" thickBot="1" x14ac:dyDescent="0.3">
      <c r="E908" s="17"/>
    </row>
    <row r="909" spans="5:5" ht="15.75" thickBot="1" x14ac:dyDescent="0.3">
      <c r="E909" s="17"/>
    </row>
    <row r="910" spans="5:5" ht="15.75" thickBot="1" x14ac:dyDescent="0.3">
      <c r="E910" s="17"/>
    </row>
    <row r="911" spans="5:5" ht="15.75" thickBot="1" x14ac:dyDescent="0.3">
      <c r="E911" s="17"/>
    </row>
    <row r="912" spans="5:5" ht="15.75" thickBot="1" x14ac:dyDescent="0.3">
      <c r="E912" s="17"/>
    </row>
    <row r="913" spans="5:5" ht="15.75" thickBot="1" x14ac:dyDescent="0.3">
      <c r="E913" s="17"/>
    </row>
    <row r="914" spans="5:5" ht="15.75" thickBot="1" x14ac:dyDescent="0.3">
      <c r="E914" s="17"/>
    </row>
    <row r="915" spans="5:5" ht="15.75" thickBot="1" x14ac:dyDescent="0.3">
      <c r="E915" s="17"/>
    </row>
    <row r="916" spans="5:5" ht="15.75" thickBot="1" x14ac:dyDescent="0.3">
      <c r="E916" s="17"/>
    </row>
    <row r="917" spans="5:5" ht="15.75" thickBot="1" x14ac:dyDescent="0.3">
      <c r="E917" s="17"/>
    </row>
    <row r="918" spans="5:5" ht="15.75" thickBot="1" x14ac:dyDescent="0.3">
      <c r="E918" s="17"/>
    </row>
    <row r="919" spans="5:5" ht="15.75" thickBot="1" x14ac:dyDescent="0.3">
      <c r="E919" s="17"/>
    </row>
    <row r="920" spans="5:5" ht="15.75" thickBot="1" x14ac:dyDescent="0.3">
      <c r="E920" s="17"/>
    </row>
    <row r="921" spans="5:5" ht="15.75" thickBot="1" x14ac:dyDescent="0.3">
      <c r="E921" s="17"/>
    </row>
    <row r="922" spans="5:5" ht="15.75" thickBot="1" x14ac:dyDescent="0.3">
      <c r="E922" s="17"/>
    </row>
    <row r="923" spans="5:5" ht="15.75" thickBot="1" x14ac:dyDescent="0.3">
      <c r="E923" s="17"/>
    </row>
    <row r="924" spans="5:5" ht="15.75" thickBot="1" x14ac:dyDescent="0.3">
      <c r="E924" s="17"/>
    </row>
    <row r="925" spans="5:5" ht="15.75" thickBot="1" x14ac:dyDescent="0.3">
      <c r="E925" s="17"/>
    </row>
    <row r="926" spans="5:5" ht="15.75" thickBot="1" x14ac:dyDescent="0.3">
      <c r="E926" s="17"/>
    </row>
    <row r="927" spans="5:5" ht="15.75" thickBot="1" x14ac:dyDescent="0.3">
      <c r="E927" s="17"/>
    </row>
    <row r="928" spans="5:5" ht="15.75" thickBot="1" x14ac:dyDescent="0.3">
      <c r="E928" s="17"/>
    </row>
    <row r="929" spans="5:5" ht="15.75" thickBot="1" x14ac:dyDescent="0.3">
      <c r="E929" s="17"/>
    </row>
    <row r="930" spans="5:5" ht="15.75" thickBot="1" x14ac:dyDescent="0.3">
      <c r="E930" s="17"/>
    </row>
    <row r="931" spans="5:5" ht="15.75" thickBot="1" x14ac:dyDescent="0.3">
      <c r="E931" s="17"/>
    </row>
    <row r="932" spans="5:5" ht="15.75" thickBot="1" x14ac:dyDescent="0.3">
      <c r="E932" s="17"/>
    </row>
    <row r="933" spans="5:5" ht="15.75" thickBot="1" x14ac:dyDescent="0.3">
      <c r="E933" s="17"/>
    </row>
    <row r="934" spans="5:5" ht="15.75" thickBot="1" x14ac:dyDescent="0.3">
      <c r="E934" s="17"/>
    </row>
    <row r="935" spans="5:5" ht="15.75" thickBot="1" x14ac:dyDescent="0.3">
      <c r="E935" s="17"/>
    </row>
    <row r="936" spans="5:5" ht="15.75" thickBot="1" x14ac:dyDescent="0.3">
      <c r="E936" s="17"/>
    </row>
    <row r="937" spans="5:5" ht="15.75" thickBot="1" x14ac:dyDescent="0.3">
      <c r="E937" s="17"/>
    </row>
    <row r="938" spans="5:5" ht="15.75" thickBot="1" x14ac:dyDescent="0.3">
      <c r="E938" s="17"/>
    </row>
    <row r="939" spans="5:5" ht="15.75" thickBot="1" x14ac:dyDescent="0.3">
      <c r="E939" s="17"/>
    </row>
    <row r="940" spans="5:5" ht="15.75" thickBot="1" x14ac:dyDescent="0.3">
      <c r="E940" s="17"/>
    </row>
    <row r="941" spans="5:5" ht="15.75" thickBot="1" x14ac:dyDescent="0.3">
      <c r="E941" s="17"/>
    </row>
    <row r="942" spans="5:5" ht="15.75" thickBot="1" x14ac:dyDescent="0.3">
      <c r="E942" s="17"/>
    </row>
    <row r="943" spans="5:5" ht="15.75" thickBot="1" x14ac:dyDescent="0.3">
      <c r="E943" s="17"/>
    </row>
    <row r="944" spans="5:5" ht="15.75" thickBot="1" x14ac:dyDescent="0.3">
      <c r="E944" s="17"/>
    </row>
    <row r="945" spans="5:5" ht="15.75" thickBot="1" x14ac:dyDescent="0.3">
      <c r="E945" s="17"/>
    </row>
    <row r="946" spans="5:5" ht="15.75" thickBot="1" x14ac:dyDescent="0.3">
      <c r="E946" s="17"/>
    </row>
    <row r="947" spans="5:5" ht="15.75" thickBot="1" x14ac:dyDescent="0.3">
      <c r="E947" s="17"/>
    </row>
    <row r="948" spans="5:5" ht="15.75" thickBot="1" x14ac:dyDescent="0.3">
      <c r="E948" s="17"/>
    </row>
    <row r="949" spans="5:5" ht="15.75" thickBot="1" x14ac:dyDescent="0.3">
      <c r="E949" s="17"/>
    </row>
    <row r="950" spans="5:5" ht="15.75" thickBot="1" x14ac:dyDescent="0.3">
      <c r="E950" s="17"/>
    </row>
    <row r="951" spans="5:5" ht="15.75" thickBot="1" x14ac:dyDescent="0.3">
      <c r="E951" s="17"/>
    </row>
    <row r="952" spans="5:5" ht="15.75" thickBot="1" x14ac:dyDescent="0.3">
      <c r="E952" s="17"/>
    </row>
    <row r="953" spans="5:5" ht="15.75" thickBot="1" x14ac:dyDescent="0.3">
      <c r="E953" s="17"/>
    </row>
    <row r="954" spans="5:5" ht="15.75" thickBot="1" x14ac:dyDescent="0.3">
      <c r="E954" s="17"/>
    </row>
    <row r="955" spans="5:5" ht="15.75" thickBot="1" x14ac:dyDescent="0.3">
      <c r="E955" s="17"/>
    </row>
    <row r="956" spans="5:5" ht="15.75" thickBot="1" x14ac:dyDescent="0.3">
      <c r="E956" s="17"/>
    </row>
    <row r="957" spans="5:5" ht="15.75" thickBot="1" x14ac:dyDescent="0.3">
      <c r="E957" s="17"/>
    </row>
    <row r="958" spans="5:5" ht="15.75" thickBot="1" x14ac:dyDescent="0.3">
      <c r="E958" s="17"/>
    </row>
    <row r="959" spans="5:5" ht="15.75" thickBot="1" x14ac:dyDescent="0.3">
      <c r="E959" s="17"/>
    </row>
    <row r="960" spans="5:5" ht="15.75" thickBot="1" x14ac:dyDescent="0.3">
      <c r="E960" s="17"/>
    </row>
    <row r="961" spans="5:5" ht="15.75" thickBot="1" x14ac:dyDescent="0.3">
      <c r="E961" s="17"/>
    </row>
    <row r="962" spans="5:5" ht="15.75" thickBot="1" x14ac:dyDescent="0.3">
      <c r="E962" s="17"/>
    </row>
    <row r="963" spans="5:5" ht="15.75" thickBot="1" x14ac:dyDescent="0.3">
      <c r="E963" s="17"/>
    </row>
    <row r="964" spans="5:5" ht="15.75" thickBot="1" x14ac:dyDescent="0.3">
      <c r="E964" s="17"/>
    </row>
    <row r="965" spans="5:5" ht="15.75" thickBot="1" x14ac:dyDescent="0.3">
      <c r="E965" s="17"/>
    </row>
    <row r="966" spans="5:5" ht="15.75" thickBot="1" x14ac:dyDescent="0.3">
      <c r="E966" s="17"/>
    </row>
    <row r="967" spans="5:5" ht="15.75" thickBot="1" x14ac:dyDescent="0.3">
      <c r="E967" s="17"/>
    </row>
    <row r="968" spans="5:5" ht="15.75" thickBot="1" x14ac:dyDescent="0.3">
      <c r="E968" s="17"/>
    </row>
    <row r="969" spans="5:5" ht="15.75" thickBot="1" x14ac:dyDescent="0.3">
      <c r="E969" s="17"/>
    </row>
    <row r="970" spans="5:5" ht="15.75" thickBot="1" x14ac:dyDescent="0.3">
      <c r="E970" s="17"/>
    </row>
    <row r="971" spans="5:5" ht="15.75" thickBot="1" x14ac:dyDescent="0.3">
      <c r="E971" s="17"/>
    </row>
    <row r="972" spans="5:5" ht="15.75" thickBot="1" x14ac:dyDescent="0.3">
      <c r="E972" s="17"/>
    </row>
    <row r="973" spans="5:5" ht="15.75" thickBot="1" x14ac:dyDescent="0.3">
      <c r="E973" s="17"/>
    </row>
    <row r="974" spans="5:5" ht="15.75" thickBot="1" x14ac:dyDescent="0.3">
      <c r="E974" s="17"/>
    </row>
    <row r="975" spans="5:5" ht="15.75" thickBot="1" x14ac:dyDescent="0.3">
      <c r="E975" s="17"/>
    </row>
    <row r="976" spans="5:5" ht="15.75" thickBot="1" x14ac:dyDescent="0.3">
      <c r="E976" s="17"/>
    </row>
    <row r="977" spans="5:5" ht="15.75" thickBot="1" x14ac:dyDescent="0.3">
      <c r="E977" s="17"/>
    </row>
    <row r="978" spans="5:5" ht="15.75" thickBot="1" x14ac:dyDescent="0.3">
      <c r="E978" s="17"/>
    </row>
    <row r="979" spans="5:5" ht="15.75" thickBot="1" x14ac:dyDescent="0.3">
      <c r="E979" s="17"/>
    </row>
    <row r="980" spans="5:5" ht="15.75" thickBot="1" x14ac:dyDescent="0.3">
      <c r="E980" s="17"/>
    </row>
    <row r="981" spans="5:5" ht="15.75" thickBot="1" x14ac:dyDescent="0.3">
      <c r="E981" s="17"/>
    </row>
    <row r="982" spans="5:5" ht="15.75" thickBot="1" x14ac:dyDescent="0.3">
      <c r="E982" s="17"/>
    </row>
    <row r="983" spans="5:5" ht="15.75" thickBot="1" x14ac:dyDescent="0.3">
      <c r="E983" s="17"/>
    </row>
    <row r="984" spans="5:5" ht="15.75" thickBot="1" x14ac:dyDescent="0.3">
      <c r="E984" s="17"/>
    </row>
    <row r="985" spans="5:5" ht="15.75" thickBot="1" x14ac:dyDescent="0.3">
      <c r="E985" s="17"/>
    </row>
    <row r="986" spans="5:5" ht="15.75" thickBot="1" x14ac:dyDescent="0.3">
      <c r="E986" s="17"/>
    </row>
    <row r="987" spans="5:5" ht="15.75" thickBot="1" x14ac:dyDescent="0.3">
      <c r="E987" s="17"/>
    </row>
    <row r="988" spans="5:5" ht="15.75" thickBot="1" x14ac:dyDescent="0.3">
      <c r="E988" s="17"/>
    </row>
    <row r="989" spans="5:5" ht="15.75" thickBot="1" x14ac:dyDescent="0.3">
      <c r="E989" s="17"/>
    </row>
    <row r="990" spans="5:5" ht="15.75" thickBot="1" x14ac:dyDescent="0.3">
      <c r="E990" s="17"/>
    </row>
    <row r="991" spans="5:5" ht="15.75" thickBot="1" x14ac:dyDescent="0.3">
      <c r="E991" s="17"/>
    </row>
    <row r="992" spans="5:5" ht="15.75" thickBot="1" x14ac:dyDescent="0.3">
      <c r="E992" s="17"/>
    </row>
    <row r="993" spans="5:5" ht="15.75" thickBot="1" x14ac:dyDescent="0.3">
      <c r="E993" s="17"/>
    </row>
    <row r="994" spans="5:5" ht="15.75" thickBot="1" x14ac:dyDescent="0.3">
      <c r="E994" s="17"/>
    </row>
    <row r="995" spans="5:5" ht="15.75" thickBot="1" x14ac:dyDescent="0.3">
      <c r="E995" s="17"/>
    </row>
    <row r="996" spans="5:5" ht="15.75" thickBot="1" x14ac:dyDescent="0.3">
      <c r="E996" s="17"/>
    </row>
    <row r="997" spans="5:5" ht="15.75" thickBot="1" x14ac:dyDescent="0.3">
      <c r="E997" s="17"/>
    </row>
    <row r="998" spans="5:5" ht="15.75" thickBot="1" x14ac:dyDescent="0.3">
      <c r="E998" s="17"/>
    </row>
    <row r="999" spans="5:5" ht="15.75" thickBot="1" x14ac:dyDescent="0.3">
      <c r="E999" s="17"/>
    </row>
    <row r="1000" spans="5:5" ht="15.75" thickBot="1" x14ac:dyDescent="0.3">
      <c r="E1000" s="17"/>
    </row>
  </sheetData>
  <sortState xmlns:xlrd2="http://schemas.microsoft.com/office/spreadsheetml/2017/richdata2" ref="A2:E1000">
    <sortCondition ref="A2:A1000"/>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7C7BD-6AEC-4DD5-A0B1-AB4105C77FFE}">
  <dimension ref="A1:E1000"/>
  <sheetViews>
    <sheetView topLeftCell="A49" zoomScale="66" workbookViewId="0">
      <selection activeCell="A49" sqref="A1:XFD1048576"/>
    </sheetView>
  </sheetViews>
  <sheetFormatPr baseColWidth="10" defaultRowHeight="15" x14ac:dyDescent="0.25"/>
  <cols>
    <col min="1" max="1" width="11.42578125" style="4"/>
    <col min="2" max="2" width="35.5703125" customWidth="1"/>
    <col min="3" max="3" width="28.140625" customWidth="1"/>
    <col min="4" max="4" width="37.140625" customWidth="1"/>
  </cols>
  <sheetData>
    <row r="1" spans="1:5" ht="15.75" thickBot="1" x14ac:dyDescent="0.3">
      <c r="A1" s="7" t="s">
        <v>1067</v>
      </c>
      <c r="B1" s="5" t="s">
        <v>0</v>
      </c>
      <c r="C1" s="5" t="s">
        <v>51</v>
      </c>
      <c r="D1" s="5" t="s">
        <v>52</v>
      </c>
      <c r="E1" s="16" t="s">
        <v>1016</v>
      </c>
    </row>
    <row r="2" spans="1:5" ht="90.75" thickBot="1" x14ac:dyDescent="0.3">
      <c r="A2" s="4">
        <f>_xlfn.XLOOKUP(E2,Orden_preguntas!$B:$B,Orden_preguntas!$A:$A)</f>
        <v>1</v>
      </c>
      <c r="B2" s="6" t="s">
        <v>817</v>
      </c>
      <c r="C2" s="6">
        <v>1</v>
      </c>
      <c r="D2" s="6" t="s">
        <v>867</v>
      </c>
      <c r="E2" s="17" t="s">
        <v>1027</v>
      </c>
    </row>
    <row r="3" spans="1:5" ht="90.75" thickBot="1" x14ac:dyDescent="0.3">
      <c r="A3" s="4">
        <f>_xlfn.XLOOKUP(E3,Orden_preguntas!$B:$B,Orden_preguntas!$A:$A)</f>
        <v>2</v>
      </c>
      <c r="B3" s="6" t="s">
        <v>804</v>
      </c>
      <c r="C3" s="6">
        <v>1</v>
      </c>
      <c r="D3" s="6" t="s">
        <v>854</v>
      </c>
      <c r="E3" s="17" t="s">
        <v>1032</v>
      </c>
    </row>
    <row r="4" spans="1:5" ht="105.75" thickBot="1" x14ac:dyDescent="0.3">
      <c r="A4" s="4">
        <f>_xlfn.XLOOKUP(E4,Orden_preguntas!$B:$B,Orden_preguntas!$A:$A)</f>
        <v>3</v>
      </c>
      <c r="B4" s="6" t="s">
        <v>818</v>
      </c>
      <c r="C4" s="6">
        <v>1</v>
      </c>
      <c r="D4" s="6" t="s">
        <v>868</v>
      </c>
      <c r="E4" s="17" t="s">
        <v>1022</v>
      </c>
    </row>
    <row r="5" spans="1:5" ht="105.75" thickBot="1" x14ac:dyDescent="0.3">
      <c r="A5" s="4">
        <f>_xlfn.XLOOKUP(E5,Orden_preguntas!$B:$B,Orden_preguntas!$A:$A)</f>
        <v>4</v>
      </c>
      <c r="B5" s="6" t="s">
        <v>809</v>
      </c>
      <c r="C5" s="6">
        <v>1</v>
      </c>
      <c r="D5" s="6" t="s">
        <v>859</v>
      </c>
      <c r="E5" s="17" t="s">
        <v>1036</v>
      </c>
    </row>
    <row r="6" spans="1:5" ht="105.75" thickBot="1" x14ac:dyDescent="0.3">
      <c r="A6" s="4">
        <f>_xlfn.XLOOKUP(E6,Orden_preguntas!$B:$B,Orden_preguntas!$A:$A)</f>
        <v>5</v>
      </c>
      <c r="B6" s="6" t="s">
        <v>803</v>
      </c>
      <c r="C6" s="6">
        <v>1</v>
      </c>
      <c r="D6" s="6" t="s">
        <v>853</v>
      </c>
      <c r="E6" s="17" t="s">
        <v>1028</v>
      </c>
    </row>
    <row r="7" spans="1:5" ht="90.75" thickBot="1" x14ac:dyDescent="0.3">
      <c r="A7" s="4">
        <f>_xlfn.XLOOKUP(E7,Orden_preguntas!$B:$B,Orden_preguntas!$A:$A)</f>
        <v>6</v>
      </c>
      <c r="B7" s="6" t="s">
        <v>815</v>
      </c>
      <c r="C7" s="6">
        <v>1</v>
      </c>
      <c r="D7" s="6" t="s">
        <v>865</v>
      </c>
      <c r="E7" s="17" t="s">
        <v>1024</v>
      </c>
    </row>
    <row r="8" spans="1:5" ht="120.75" thickBot="1" x14ac:dyDescent="0.3">
      <c r="A8" s="4">
        <f>_xlfn.XLOOKUP(E8,Orden_preguntas!$B:$B,Orden_preguntas!$A:$A)</f>
        <v>7</v>
      </c>
      <c r="B8" s="6" t="s">
        <v>810</v>
      </c>
      <c r="C8" s="6">
        <v>1</v>
      </c>
      <c r="D8" s="6" t="s">
        <v>860</v>
      </c>
      <c r="E8" s="17" t="s">
        <v>1030</v>
      </c>
    </row>
    <row r="9" spans="1:5" ht="105.75" thickBot="1" x14ac:dyDescent="0.3">
      <c r="A9" s="4">
        <f>_xlfn.XLOOKUP(E9,Orden_preguntas!$B:$B,Orden_preguntas!$A:$A)</f>
        <v>8</v>
      </c>
      <c r="B9" s="6" t="s">
        <v>820</v>
      </c>
      <c r="C9" s="6">
        <v>0.9</v>
      </c>
      <c r="D9" s="6" t="s">
        <v>870</v>
      </c>
      <c r="E9" s="17" t="s">
        <v>1020</v>
      </c>
    </row>
    <row r="10" spans="1:5" ht="90.75" thickBot="1" x14ac:dyDescent="0.3">
      <c r="A10" s="4">
        <f>_xlfn.XLOOKUP(E10,Orden_preguntas!$B:$B,Orden_preguntas!$A:$A)</f>
        <v>9</v>
      </c>
      <c r="B10" s="6" t="s">
        <v>812</v>
      </c>
      <c r="C10" s="6">
        <v>1</v>
      </c>
      <c r="D10" s="6" t="s">
        <v>862</v>
      </c>
      <c r="E10" s="17" t="s">
        <v>1034</v>
      </c>
    </row>
    <row r="11" spans="1:5" ht="90.75" thickBot="1" x14ac:dyDescent="0.3">
      <c r="A11" s="4">
        <f>_xlfn.XLOOKUP(E11,Orden_preguntas!$B:$B,Orden_preguntas!$A:$A)</f>
        <v>10</v>
      </c>
      <c r="B11" s="6" t="s">
        <v>813</v>
      </c>
      <c r="C11" s="6">
        <v>1</v>
      </c>
      <c r="D11" s="6" t="s">
        <v>863</v>
      </c>
      <c r="E11" s="17" t="s">
        <v>1035</v>
      </c>
    </row>
    <row r="12" spans="1:5" ht="135.75" thickBot="1" x14ac:dyDescent="0.3">
      <c r="A12" s="4">
        <f>_xlfn.XLOOKUP(E12,Orden_preguntas!$B:$B,Orden_preguntas!$A:$A)</f>
        <v>11</v>
      </c>
      <c r="B12" s="6" t="s">
        <v>811</v>
      </c>
      <c r="C12" s="6">
        <v>1</v>
      </c>
      <c r="D12" s="6" t="s">
        <v>861</v>
      </c>
      <c r="E12" s="17" t="s">
        <v>1017</v>
      </c>
    </row>
    <row r="13" spans="1:5" ht="120.75" thickBot="1" x14ac:dyDescent="0.3">
      <c r="A13" s="4">
        <f>_xlfn.XLOOKUP(E13,Orden_preguntas!$B:$B,Orden_preguntas!$A:$A)</f>
        <v>12</v>
      </c>
      <c r="B13" s="6" t="s">
        <v>814</v>
      </c>
      <c r="C13" s="6">
        <v>0.3</v>
      </c>
      <c r="D13" s="6" t="s">
        <v>864</v>
      </c>
      <c r="E13" s="17" t="s">
        <v>1023</v>
      </c>
    </row>
    <row r="14" spans="1:5" ht="135.75" thickBot="1" x14ac:dyDescent="0.3">
      <c r="A14" s="4">
        <f>_xlfn.XLOOKUP(E14,Orden_preguntas!$B:$B,Orden_preguntas!$A:$A)</f>
        <v>13</v>
      </c>
      <c r="B14" s="6" t="s">
        <v>816</v>
      </c>
      <c r="C14" s="6">
        <v>0.3</v>
      </c>
      <c r="D14" s="6" t="s">
        <v>866</v>
      </c>
      <c r="E14" s="17" t="s">
        <v>1033</v>
      </c>
    </row>
    <row r="15" spans="1:5" ht="105.75" thickBot="1" x14ac:dyDescent="0.3">
      <c r="A15" s="4">
        <f>_xlfn.XLOOKUP(E15,Orden_preguntas!$B:$B,Orden_preguntas!$A:$A)</f>
        <v>14</v>
      </c>
      <c r="B15" s="6" t="s">
        <v>806</v>
      </c>
      <c r="C15" s="6">
        <v>1</v>
      </c>
      <c r="D15" s="6" t="s">
        <v>856</v>
      </c>
      <c r="E15" s="17" t="s">
        <v>1018</v>
      </c>
    </row>
    <row r="16" spans="1:5" ht="150.75" thickBot="1" x14ac:dyDescent="0.3">
      <c r="A16" s="4">
        <f>_xlfn.XLOOKUP(E16,Orden_preguntas!$B:$B,Orden_preguntas!$A:$A)</f>
        <v>15</v>
      </c>
      <c r="B16" s="6" t="s">
        <v>819</v>
      </c>
      <c r="C16" s="6">
        <v>0.9</v>
      </c>
      <c r="D16" s="6" t="s">
        <v>869</v>
      </c>
      <c r="E16" s="17" t="s">
        <v>1025</v>
      </c>
    </row>
    <row r="17" spans="1:5" ht="105.75" thickBot="1" x14ac:dyDescent="0.3">
      <c r="A17" s="4">
        <f>_xlfn.XLOOKUP(E17,Orden_preguntas!$B:$B,Orden_preguntas!$A:$A)</f>
        <v>16</v>
      </c>
      <c r="B17" s="6" t="s">
        <v>808</v>
      </c>
      <c r="C17" s="6">
        <v>0.3</v>
      </c>
      <c r="D17" s="6" t="s">
        <v>858</v>
      </c>
      <c r="E17" s="17" t="s">
        <v>1019</v>
      </c>
    </row>
    <row r="18" spans="1:5" ht="75.75" thickBot="1" x14ac:dyDescent="0.3">
      <c r="A18" s="4">
        <f>_xlfn.XLOOKUP(E18,Orden_preguntas!$B:$B,Orden_preguntas!$A:$A)</f>
        <v>17</v>
      </c>
      <c r="B18" s="6" t="s">
        <v>821</v>
      </c>
      <c r="C18" s="6">
        <v>0.3</v>
      </c>
      <c r="D18" s="6" t="s">
        <v>871</v>
      </c>
      <c r="E18" s="17" t="s">
        <v>1026</v>
      </c>
    </row>
    <row r="19" spans="1:5" ht="75.75" thickBot="1" x14ac:dyDescent="0.3">
      <c r="A19" s="4">
        <f>_xlfn.XLOOKUP(E19,Orden_preguntas!$B:$B,Orden_preguntas!$A:$A)</f>
        <v>18</v>
      </c>
      <c r="B19" s="6" t="s">
        <v>807</v>
      </c>
      <c r="C19" s="6">
        <v>0.3</v>
      </c>
      <c r="D19" s="6" t="s">
        <v>857</v>
      </c>
      <c r="E19" s="17" t="s">
        <v>1031</v>
      </c>
    </row>
    <row r="20" spans="1:5" ht="135.75" thickBot="1" x14ac:dyDescent="0.3">
      <c r="A20" s="4">
        <f>_xlfn.XLOOKUP(E20,Orden_preguntas!$B:$B,Orden_preguntas!$A:$A)</f>
        <v>19</v>
      </c>
      <c r="B20" s="6" t="s">
        <v>822</v>
      </c>
      <c r="C20" s="6">
        <v>0.4</v>
      </c>
      <c r="D20" s="6" t="s">
        <v>872</v>
      </c>
      <c r="E20" s="17" t="s">
        <v>1029</v>
      </c>
    </row>
    <row r="21" spans="1:5" ht="135.75" thickBot="1" x14ac:dyDescent="0.3">
      <c r="A21" s="4">
        <f>_xlfn.XLOOKUP(E21,Orden_preguntas!$B:$B,Orden_preguntas!$A:$A)</f>
        <v>20</v>
      </c>
      <c r="B21" s="6" t="s">
        <v>805</v>
      </c>
      <c r="C21" s="6">
        <v>1</v>
      </c>
      <c r="D21" s="6" t="s">
        <v>855</v>
      </c>
      <c r="E21" s="17" t="s">
        <v>1021</v>
      </c>
    </row>
    <row r="22" spans="1:5" ht="120.75" thickBot="1" x14ac:dyDescent="0.3">
      <c r="A22" s="4">
        <f>_xlfn.XLOOKUP(E22,Orden_preguntas!$B:$B,Orden_preguntas!$A:$A)</f>
        <v>21</v>
      </c>
      <c r="B22" s="6" t="s">
        <v>836</v>
      </c>
      <c r="C22" s="6">
        <v>0.7</v>
      </c>
      <c r="D22" s="6" t="s">
        <v>886</v>
      </c>
      <c r="E22" s="17" t="s">
        <v>1038</v>
      </c>
    </row>
    <row r="23" spans="1:5" ht="150.75" thickBot="1" x14ac:dyDescent="0.3">
      <c r="A23" s="4">
        <f>_xlfn.XLOOKUP(E23,Orden_preguntas!$B:$B,Orden_preguntas!$A:$A)</f>
        <v>22</v>
      </c>
      <c r="B23" s="6" t="s">
        <v>823</v>
      </c>
      <c r="C23" s="6">
        <v>0.3</v>
      </c>
      <c r="D23" s="6" t="s">
        <v>873</v>
      </c>
      <c r="E23" s="17" t="s">
        <v>1048</v>
      </c>
    </row>
    <row r="24" spans="1:5" ht="120.75" thickBot="1" x14ac:dyDescent="0.3">
      <c r="A24" s="4">
        <f>_xlfn.XLOOKUP(E24,Orden_preguntas!$B:$B,Orden_preguntas!$A:$A)</f>
        <v>23</v>
      </c>
      <c r="B24" s="6" t="s">
        <v>834</v>
      </c>
      <c r="C24" s="6">
        <v>0.4</v>
      </c>
      <c r="D24" s="6" t="s">
        <v>884</v>
      </c>
      <c r="E24" s="17" t="s">
        <v>1056</v>
      </c>
    </row>
    <row r="25" spans="1:5" ht="135.75" thickBot="1" x14ac:dyDescent="0.3">
      <c r="A25" s="4">
        <f>_xlfn.XLOOKUP(E25,Orden_preguntas!$B:$B,Orden_preguntas!$A:$A)</f>
        <v>24</v>
      </c>
      <c r="B25" s="6" t="s">
        <v>825</v>
      </c>
      <c r="C25" s="6">
        <v>0.3</v>
      </c>
      <c r="D25" s="6" t="s">
        <v>875</v>
      </c>
      <c r="E25" s="17" t="s">
        <v>1037</v>
      </c>
    </row>
    <row r="26" spans="1:5" ht="120.75" thickBot="1" x14ac:dyDescent="0.3">
      <c r="A26" s="4">
        <f>_xlfn.XLOOKUP(E26,Orden_preguntas!$B:$B,Orden_preguntas!$A:$A)</f>
        <v>25</v>
      </c>
      <c r="B26" s="6" t="s">
        <v>840</v>
      </c>
      <c r="C26" s="6">
        <v>1</v>
      </c>
      <c r="D26" s="6" t="s">
        <v>890</v>
      </c>
      <c r="E26" s="17" t="s">
        <v>1039</v>
      </c>
    </row>
    <row r="27" spans="1:5" ht="135.75" thickBot="1" x14ac:dyDescent="0.3">
      <c r="A27" s="4">
        <f>_xlfn.XLOOKUP(E27,Orden_preguntas!$B:$B,Orden_preguntas!$A:$A)</f>
        <v>26</v>
      </c>
      <c r="B27" s="6" t="s">
        <v>824</v>
      </c>
      <c r="C27" s="6">
        <v>1</v>
      </c>
      <c r="D27" s="6" t="s">
        <v>874</v>
      </c>
      <c r="E27" s="17" t="s">
        <v>1041</v>
      </c>
    </row>
    <row r="28" spans="1:5" ht="105.75" thickBot="1" x14ac:dyDescent="0.3">
      <c r="A28" s="4">
        <f>_xlfn.XLOOKUP(E28,Orden_preguntas!$B:$B,Orden_preguntas!$A:$A)</f>
        <v>27</v>
      </c>
      <c r="B28" s="6" t="s">
        <v>828</v>
      </c>
      <c r="C28" s="6">
        <v>0.3</v>
      </c>
      <c r="D28" s="6" t="s">
        <v>878</v>
      </c>
      <c r="E28" s="17" t="s">
        <v>1040</v>
      </c>
    </row>
    <row r="29" spans="1:5" ht="105.75" thickBot="1" x14ac:dyDescent="0.3">
      <c r="A29" s="4">
        <f>_xlfn.XLOOKUP(E29,Orden_preguntas!$B:$B,Orden_preguntas!$A:$A)</f>
        <v>28</v>
      </c>
      <c r="B29" s="6" t="s">
        <v>831</v>
      </c>
      <c r="C29" s="6">
        <v>1</v>
      </c>
      <c r="D29" s="6" t="s">
        <v>881</v>
      </c>
      <c r="E29" s="17" t="s">
        <v>1042</v>
      </c>
    </row>
    <row r="30" spans="1:5" ht="135.75" thickBot="1" x14ac:dyDescent="0.3">
      <c r="A30" s="4">
        <f>_xlfn.XLOOKUP(E30,Orden_preguntas!$B:$B,Orden_preguntas!$A:$A)</f>
        <v>29</v>
      </c>
      <c r="B30" s="6" t="s">
        <v>829</v>
      </c>
      <c r="C30" s="6">
        <v>0.9</v>
      </c>
      <c r="D30" s="6" t="s">
        <v>879</v>
      </c>
      <c r="E30" s="17" t="s">
        <v>1043</v>
      </c>
    </row>
    <row r="31" spans="1:5" ht="150.75" thickBot="1" x14ac:dyDescent="0.3">
      <c r="A31" s="4">
        <f>_xlfn.XLOOKUP(E31,Orden_preguntas!$B:$B,Orden_preguntas!$A:$A)</f>
        <v>30</v>
      </c>
      <c r="B31" s="6" t="s">
        <v>830</v>
      </c>
      <c r="C31" s="6">
        <v>1</v>
      </c>
      <c r="D31" s="6" t="s">
        <v>880</v>
      </c>
      <c r="E31" s="17" t="s">
        <v>1045</v>
      </c>
    </row>
    <row r="32" spans="1:5" ht="150.75" thickBot="1" x14ac:dyDescent="0.3">
      <c r="A32" s="4">
        <f>_xlfn.XLOOKUP(E32,Orden_preguntas!$B:$B,Orden_preguntas!$A:$A)</f>
        <v>31</v>
      </c>
      <c r="B32" s="6" t="s">
        <v>826</v>
      </c>
      <c r="C32" s="6">
        <v>1</v>
      </c>
      <c r="D32" s="6" t="s">
        <v>876</v>
      </c>
      <c r="E32" s="17" t="s">
        <v>1051</v>
      </c>
    </row>
    <row r="33" spans="1:5" ht="180.75" thickBot="1" x14ac:dyDescent="0.3">
      <c r="A33" s="4">
        <f>_xlfn.XLOOKUP(E33,Orden_preguntas!$B:$B,Orden_preguntas!$A:$A)</f>
        <v>32</v>
      </c>
      <c r="B33" s="6" t="s">
        <v>832</v>
      </c>
      <c r="C33" s="6">
        <v>0.3</v>
      </c>
      <c r="D33" s="6" t="s">
        <v>882</v>
      </c>
      <c r="E33" s="17" t="s">
        <v>1047</v>
      </c>
    </row>
    <row r="34" spans="1:5" ht="165.75" thickBot="1" x14ac:dyDescent="0.3">
      <c r="A34" s="4">
        <f>_xlfn.XLOOKUP(E34,Orden_preguntas!$B:$B,Orden_preguntas!$A:$A)</f>
        <v>33</v>
      </c>
      <c r="B34" s="6" t="s">
        <v>833</v>
      </c>
      <c r="C34" s="6">
        <v>1</v>
      </c>
      <c r="D34" s="6" t="s">
        <v>883</v>
      </c>
      <c r="E34" s="17" t="s">
        <v>1053</v>
      </c>
    </row>
    <row r="35" spans="1:5" ht="120.75" thickBot="1" x14ac:dyDescent="0.3">
      <c r="A35" s="4">
        <f>_xlfn.XLOOKUP(E35,Orden_preguntas!$B:$B,Orden_preguntas!$A:$A)</f>
        <v>34</v>
      </c>
      <c r="B35" s="6" t="s">
        <v>841</v>
      </c>
      <c r="C35" s="6">
        <v>0.4</v>
      </c>
      <c r="D35" s="6" t="s">
        <v>891</v>
      </c>
      <c r="E35" s="17" t="s">
        <v>1057</v>
      </c>
    </row>
    <row r="36" spans="1:5" ht="165.75" thickBot="1" x14ac:dyDescent="0.3">
      <c r="A36" s="4">
        <f>_xlfn.XLOOKUP(E36,Orden_preguntas!$B:$B,Orden_preguntas!$A:$A)</f>
        <v>35</v>
      </c>
      <c r="B36" s="6" t="s">
        <v>827</v>
      </c>
      <c r="C36" s="6">
        <v>1</v>
      </c>
      <c r="D36" s="6" t="s">
        <v>877</v>
      </c>
      <c r="E36" s="17" t="s">
        <v>1046</v>
      </c>
    </row>
    <row r="37" spans="1:5" ht="135.75" thickBot="1" x14ac:dyDescent="0.3">
      <c r="A37" s="4">
        <f>_xlfn.XLOOKUP(E37,Orden_preguntas!$B:$B,Orden_preguntas!$A:$A)</f>
        <v>36</v>
      </c>
      <c r="B37" s="6" t="s">
        <v>835</v>
      </c>
      <c r="C37" s="6">
        <v>1</v>
      </c>
      <c r="D37" s="6" t="s">
        <v>885</v>
      </c>
      <c r="E37" s="17" t="s">
        <v>1049</v>
      </c>
    </row>
    <row r="38" spans="1:5" ht="135.75" thickBot="1" x14ac:dyDescent="0.3">
      <c r="A38" s="4">
        <f>_xlfn.XLOOKUP(E38,Orden_preguntas!$B:$B,Orden_preguntas!$A:$A)</f>
        <v>37</v>
      </c>
      <c r="B38" s="6" t="s">
        <v>846</v>
      </c>
      <c r="C38" s="6">
        <v>0.8</v>
      </c>
      <c r="D38" s="6" t="s">
        <v>896</v>
      </c>
      <c r="E38" s="17" t="s">
        <v>1052</v>
      </c>
    </row>
    <row r="39" spans="1:5" ht="105.75" thickBot="1" x14ac:dyDescent="0.3">
      <c r="A39" s="4">
        <f>_xlfn.XLOOKUP(E39,Orden_preguntas!$B:$B,Orden_preguntas!$A:$A)</f>
        <v>38</v>
      </c>
      <c r="B39" s="6" t="s">
        <v>837</v>
      </c>
      <c r="C39" s="6">
        <v>1</v>
      </c>
      <c r="D39" s="6" t="s">
        <v>887</v>
      </c>
      <c r="E39" s="17" t="s">
        <v>1044</v>
      </c>
    </row>
    <row r="40" spans="1:5" ht="165.75" thickBot="1" x14ac:dyDescent="0.3">
      <c r="A40" s="4">
        <f>_xlfn.XLOOKUP(E40,Orden_preguntas!$B:$B,Orden_preguntas!$A:$A)</f>
        <v>39</v>
      </c>
      <c r="B40" s="6" t="s">
        <v>839</v>
      </c>
      <c r="C40" s="6">
        <v>0.3</v>
      </c>
      <c r="D40" s="6" t="s">
        <v>889</v>
      </c>
      <c r="E40" s="17" t="s">
        <v>1055</v>
      </c>
    </row>
    <row r="41" spans="1:5" ht="165.75" thickBot="1" x14ac:dyDescent="0.3">
      <c r="A41" s="4">
        <f>_xlfn.XLOOKUP(E41,Orden_preguntas!$B:$B,Orden_preguntas!$A:$A)</f>
        <v>40</v>
      </c>
      <c r="B41" s="6" t="s">
        <v>838</v>
      </c>
      <c r="C41" s="6">
        <v>1</v>
      </c>
      <c r="D41" s="6" t="s">
        <v>888</v>
      </c>
      <c r="E41" s="17" t="s">
        <v>1050</v>
      </c>
    </row>
    <row r="42" spans="1:5" ht="225.75" thickBot="1" x14ac:dyDescent="0.3">
      <c r="A42" s="4">
        <f>_xlfn.XLOOKUP(E42,Orden_preguntas!$B:$B,Orden_preguntas!$A:$A)</f>
        <v>41</v>
      </c>
      <c r="B42" s="6" t="s">
        <v>843</v>
      </c>
      <c r="C42" s="6">
        <v>0.6</v>
      </c>
      <c r="D42" s="6" t="s">
        <v>893</v>
      </c>
      <c r="E42" s="17" t="s">
        <v>1054</v>
      </c>
    </row>
    <row r="43" spans="1:5" ht="165.75" thickBot="1" x14ac:dyDescent="0.3">
      <c r="A43" s="4">
        <f>_xlfn.XLOOKUP(E43,Orden_preguntas!$B:$B,Orden_preguntas!$A:$A)</f>
        <v>42</v>
      </c>
      <c r="B43" s="6" t="s">
        <v>842</v>
      </c>
      <c r="C43" s="6">
        <v>1</v>
      </c>
      <c r="D43" s="6" t="s">
        <v>892</v>
      </c>
      <c r="E43" s="17" t="s">
        <v>1065</v>
      </c>
    </row>
    <row r="44" spans="1:5" ht="165.75" thickBot="1" x14ac:dyDescent="0.3">
      <c r="A44" s="4">
        <f>_xlfn.XLOOKUP(E44,Orden_preguntas!$B:$B,Orden_preguntas!$A:$A)</f>
        <v>43</v>
      </c>
      <c r="B44" s="6" t="s">
        <v>849</v>
      </c>
      <c r="C44" s="6">
        <v>0.4</v>
      </c>
      <c r="D44" s="6" t="s">
        <v>899</v>
      </c>
      <c r="E44" s="17" t="s">
        <v>1059</v>
      </c>
    </row>
    <row r="45" spans="1:5" ht="135.75" thickBot="1" x14ac:dyDescent="0.3">
      <c r="A45" s="4">
        <f>_xlfn.XLOOKUP(E45,Orden_preguntas!$B:$B,Orden_preguntas!$A:$A)</f>
        <v>44</v>
      </c>
      <c r="B45" s="6" t="s">
        <v>844</v>
      </c>
      <c r="C45" s="6">
        <v>1</v>
      </c>
      <c r="D45" s="6" t="s">
        <v>894</v>
      </c>
      <c r="E45" s="17" t="s">
        <v>1058</v>
      </c>
    </row>
    <row r="46" spans="1:5" ht="150.75" thickBot="1" x14ac:dyDescent="0.3">
      <c r="A46" s="4">
        <f>_xlfn.XLOOKUP(E46,Orden_preguntas!$B:$B,Orden_preguntas!$A:$A)</f>
        <v>45</v>
      </c>
      <c r="B46" s="6" t="s">
        <v>850</v>
      </c>
      <c r="C46" s="6">
        <v>1</v>
      </c>
      <c r="D46" s="6" t="s">
        <v>900</v>
      </c>
      <c r="E46" s="17" t="s">
        <v>1061</v>
      </c>
    </row>
    <row r="47" spans="1:5" ht="105.75" thickBot="1" x14ac:dyDescent="0.3">
      <c r="A47" s="4">
        <f>_xlfn.XLOOKUP(E47,Orden_preguntas!$B:$B,Orden_preguntas!$A:$A)</f>
        <v>46</v>
      </c>
      <c r="B47" s="6" t="s">
        <v>852</v>
      </c>
      <c r="C47" s="6">
        <v>0.4</v>
      </c>
      <c r="D47" s="6" t="s">
        <v>902</v>
      </c>
      <c r="E47" s="17" t="s">
        <v>1060</v>
      </c>
    </row>
    <row r="48" spans="1:5" ht="135.75" thickBot="1" x14ac:dyDescent="0.3">
      <c r="A48" s="4">
        <f>_xlfn.XLOOKUP(E48,Orden_preguntas!$B:$B,Orden_preguntas!$A:$A)</f>
        <v>47</v>
      </c>
      <c r="B48" s="6" t="s">
        <v>851</v>
      </c>
      <c r="C48" s="6">
        <v>0.9</v>
      </c>
      <c r="D48" s="6" t="s">
        <v>901</v>
      </c>
      <c r="E48" s="17" t="s">
        <v>1062</v>
      </c>
    </row>
    <row r="49" spans="1:5" ht="165.75" thickBot="1" x14ac:dyDescent="0.3">
      <c r="A49" s="4">
        <f>_xlfn.XLOOKUP(E49,Orden_preguntas!$B:$B,Orden_preguntas!$A:$A)</f>
        <v>48</v>
      </c>
      <c r="B49" s="6" t="s">
        <v>847</v>
      </c>
      <c r="C49" s="6">
        <v>1</v>
      </c>
      <c r="D49" s="6" t="s">
        <v>897</v>
      </c>
      <c r="E49" s="17" t="s">
        <v>1066</v>
      </c>
    </row>
    <row r="50" spans="1:5" ht="195.75" thickBot="1" x14ac:dyDescent="0.3">
      <c r="A50" s="4">
        <f>_xlfn.XLOOKUP(E50,Orden_preguntas!$B:$B,Orden_preguntas!$A:$A)</f>
        <v>49</v>
      </c>
      <c r="B50" s="6" t="s">
        <v>848</v>
      </c>
      <c r="C50" s="6">
        <v>1</v>
      </c>
      <c r="D50" s="6" t="s">
        <v>898</v>
      </c>
      <c r="E50" s="17" t="s">
        <v>1063</v>
      </c>
    </row>
    <row r="51" spans="1:5" ht="210.75" thickBot="1" x14ac:dyDescent="0.3">
      <c r="A51" s="4">
        <f>_xlfn.XLOOKUP(E51,Orden_preguntas!$B:$B,Orden_preguntas!$A:$A)</f>
        <v>50</v>
      </c>
      <c r="B51" s="6" t="s">
        <v>845</v>
      </c>
      <c r="C51" s="6">
        <v>0.6</v>
      </c>
      <c r="D51" s="6" t="s">
        <v>895</v>
      </c>
      <c r="E51" s="17" t="s">
        <v>1064</v>
      </c>
    </row>
    <row r="52" spans="1:5" ht="15.75" thickBot="1" x14ac:dyDescent="0.3">
      <c r="E52" s="17"/>
    </row>
    <row r="53" spans="1:5" ht="15.75" thickBot="1" x14ac:dyDescent="0.3">
      <c r="E53" s="17"/>
    </row>
    <row r="54" spans="1:5" ht="15.75" thickBot="1" x14ac:dyDescent="0.3">
      <c r="E54" s="17"/>
    </row>
    <row r="55" spans="1:5" ht="15.75" thickBot="1" x14ac:dyDescent="0.3">
      <c r="E55" s="17"/>
    </row>
    <row r="56" spans="1:5" ht="15.75" thickBot="1" x14ac:dyDescent="0.3">
      <c r="E56" s="17"/>
    </row>
    <row r="57" spans="1:5" ht="15.75" thickBot="1" x14ac:dyDescent="0.3">
      <c r="E57" s="17"/>
    </row>
    <row r="58" spans="1:5" ht="15.75" thickBot="1" x14ac:dyDescent="0.3">
      <c r="E58" s="17"/>
    </row>
    <row r="59" spans="1:5" ht="15.75" thickBot="1" x14ac:dyDescent="0.3">
      <c r="E59" s="17"/>
    </row>
    <row r="60" spans="1:5" ht="15.75" thickBot="1" x14ac:dyDescent="0.3">
      <c r="E60" s="17"/>
    </row>
    <row r="61" spans="1:5" ht="15.75" thickBot="1" x14ac:dyDescent="0.3">
      <c r="E61" s="17"/>
    </row>
    <row r="62" spans="1:5" ht="15.75" thickBot="1" x14ac:dyDescent="0.3">
      <c r="E62" s="17"/>
    </row>
    <row r="63" spans="1:5" ht="15.75" thickBot="1" x14ac:dyDescent="0.3">
      <c r="E63" s="17"/>
    </row>
    <row r="64" spans="1:5" ht="15.75" thickBot="1" x14ac:dyDescent="0.3">
      <c r="E64" s="17"/>
    </row>
    <row r="65" spans="5:5" ht="15.75" thickBot="1" x14ac:dyDescent="0.3">
      <c r="E65" s="17"/>
    </row>
    <row r="66" spans="5:5" ht="15.75" thickBot="1" x14ac:dyDescent="0.3">
      <c r="E66" s="17"/>
    </row>
    <row r="67" spans="5:5" ht="15.75" thickBot="1" x14ac:dyDescent="0.3">
      <c r="E67" s="17"/>
    </row>
    <row r="68" spans="5:5" ht="15.75" thickBot="1" x14ac:dyDescent="0.3">
      <c r="E68" s="17"/>
    </row>
    <row r="69" spans="5:5" ht="15.75" thickBot="1" x14ac:dyDescent="0.3">
      <c r="E69" s="17"/>
    </row>
    <row r="70" spans="5:5" ht="15.75" thickBot="1" x14ac:dyDescent="0.3">
      <c r="E70" s="17"/>
    </row>
    <row r="71" spans="5:5" ht="15.75" thickBot="1" x14ac:dyDescent="0.3">
      <c r="E71" s="17"/>
    </row>
    <row r="72" spans="5:5" ht="15.75" thickBot="1" x14ac:dyDescent="0.3">
      <c r="E72" s="17"/>
    </row>
    <row r="73" spans="5:5" ht="15.75" thickBot="1" x14ac:dyDescent="0.3">
      <c r="E73" s="17"/>
    </row>
    <row r="74" spans="5:5" ht="15.75" thickBot="1" x14ac:dyDescent="0.3">
      <c r="E74" s="17"/>
    </row>
    <row r="75" spans="5:5" ht="15.75" thickBot="1" x14ac:dyDescent="0.3">
      <c r="E75" s="17"/>
    </row>
    <row r="76" spans="5:5" ht="15.75" thickBot="1" x14ac:dyDescent="0.3">
      <c r="E76" s="17"/>
    </row>
    <row r="77" spans="5:5" ht="15.75" thickBot="1" x14ac:dyDescent="0.3">
      <c r="E77" s="17"/>
    </row>
    <row r="78" spans="5:5" ht="15.75" thickBot="1" x14ac:dyDescent="0.3">
      <c r="E78" s="17"/>
    </row>
    <row r="79" spans="5:5" ht="15.75" thickBot="1" x14ac:dyDescent="0.3">
      <c r="E79" s="17"/>
    </row>
    <row r="80" spans="5:5" ht="15.75" thickBot="1" x14ac:dyDescent="0.3">
      <c r="E80" s="17"/>
    </row>
    <row r="81" spans="5:5" ht="15.75" thickBot="1" x14ac:dyDescent="0.3">
      <c r="E81" s="17"/>
    </row>
    <row r="82" spans="5:5" ht="15.75" thickBot="1" x14ac:dyDescent="0.3">
      <c r="E82" s="17"/>
    </row>
    <row r="83" spans="5:5" ht="15.75" thickBot="1" x14ac:dyDescent="0.3">
      <c r="E83" s="17"/>
    </row>
    <row r="84" spans="5:5" ht="15.75" thickBot="1" x14ac:dyDescent="0.3">
      <c r="E84" s="17"/>
    </row>
    <row r="85" spans="5:5" ht="15.75" thickBot="1" x14ac:dyDescent="0.3">
      <c r="E85" s="17"/>
    </row>
    <row r="86" spans="5:5" ht="15.75" thickBot="1" x14ac:dyDescent="0.3">
      <c r="E86" s="17"/>
    </row>
    <row r="87" spans="5:5" ht="15.75" thickBot="1" x14ac:dyDescent="0.3">
      <c r="E87" s="17"/>
    </row>
    <row r="88" spans="5:5" ht="15.75" thickBot="1" x14ac:dyDescent="0.3">
      <c r="E88" s="17"/>
    </row>
    <row r="89" spans="5:5" ht="15.75" thickBot="1" x14ac:dyDescent="0.3">
      <c r="E89" s="17"/>
    </row>
    <row r="90" spans="5:5" ht="15.75" thickBot="1" x14ac:dyDescent="0.3">
      <c r="E90" s="17"/>
    </row>
    <row r="91" spans="5:5" ht="15.75" thickBot="1" x14ac:dyDescent="0.3">
      <c r="E91" s="17"/>
    </row>
    <row r="92" spans="5:5" ht="15.75" thickBot="1" x14ac:dyDescent="0.3">
      <c r="E92" s="17"/>
    </row>
    <row r="93" spans="5:5" ht="15.75" thickBot="1" x14ac:dyDescent="0.3">
      <c r="E93" s="17"/>
    </row>
    <row r="94" spans="5:5" ht="15.75" thickBot="1" x14ac:dyDescent="0.3">
      <c r="E94" s="17"/>
    </row>
    <row r="95" spans="5:5" ht="15.75" thickBot="1" x14ac:dyDescent="0.3">
      <c r="E95" s="17"/>
    </row>
    <row r="96" spans="5:5" ht="15.75" thickBot="1" x14ac:dyDescent="0.3">
      <c r="E96" s="17"/>
    </row>
    <row r="97" spans="5:5" ht="15.75" thickBot="1" x14ac:dyDescent="0.3">
      <c r="E97" s="17"/>
    </row>
    <row r="98" spans="5:5" ht="15.75" thickBot="1" x14ac:dyDescent="0.3">
      <c r="E98" s="17"/>
    </row>
    <row r="99" spans="5:5" ht="15.75" thickBot="1" x14ac:dyDescent="0.3">
      <c r="E99" s="17"/>
    </row>
    <row r="100" spans="5:5" ht="15.75" thickBot="1" x14ac:dyDescent="0.3">
      <c r="E100" s="17"/>
    </row>
    <row r="101" spans="5:5" ht="15.75" thickBot="1" x14ac:dyDescent="0.3">
      <c r="E101" s="17"/>
    </row>
    <row r="102" spans="5:5" ht="15.75" thickBot="1" x14ac:dyDescent="0.3">
      <c r="E102" s="17"/>
    </row>
    <row r="103" spans="5:5" ht="15.75" thickBot="1" x14ac:dyDescent="0.3">
      <c r="E103" s="17"/>
    </row>
    <row r="104" spans="5:5" ht="15.75" thickBot="1" x14ac:dyDescent="0.3">
      <c r="E104" s="17"/>
    </row>
    <row r="105" spans="5:5" ht="15.75" thickBot="1" x14ac:dyDescent="0.3">
      <c r="E105" s="17"/>
    </row>
    <row r="106" spans="5:5" ht="15.75" thickBot="1" x14ac:dyDescent="0.3">
      <c r="E106" s="17"/>
    </row>
    <row r="107" spans="5:5" ht="15.75" thickBot="1" x14ac:dyDescent="0.3">
      <c r="E107" s="17"/>
    </row>
    <row r="108" spans="5:5" ht="15.75" thickBot="1" x14ac:dyDescent="0.3">
      <c r="E108" s="17"/>
    </row>
    <row r="109" spans="5:5" ht="15.75" thickBot="1" x14ac:dyDescent="0.3">
      <c r="E109" s="17"/>
    </row>
    <row r="110" spans="5:5" ht="15.75" thickBot="1" x14ac:dyDescent="0.3">
      <c r="E110" s="17"/>
    </row>
    <row r="111" spans="5:5" ht="15.75" thickBot="1" x14ac:dyDescent="0.3">
      <c r="E111" s="17"/>
    </row>
    <row r="112" spans="5:5" ht="15.75" thickBot="1" x14ac:dyDescent="0.3">
      <c r="E112" s="17"/>
    </row>
    <row r="113" spans="5:5" ht="15.75" thickBot="1" x14ac:dyDescent="0.3">
      <c r="E113" s="17"/>
    </row>
    <row r="114" spans="5:5" ht="15.75" thickBot="1" x14ac:dyDescent="0.3">
      <c r="E114" s="17"/>
    </row>
    <row r="115" spans="5:5" ht="15.75" thickBot="1" x14ac:dyDescent="0.3">
      <c r="E115" s="17"/>
    </row>
    <row r="116" spans="5:5" ht="15.75" thickBot="1" x14ac:dyDescent="0.3">
      <c r="E116" s="17"/>
    </row>
    <row r="117" spans="5:5" ht="15.75" thickBot="1" x14ac:dyDescent="0.3">
      <c r="E117" s="17"/>
    </row>
    <row r="118" spans="5:5" ht="15.75" thickBot="1" x14ac:dyDescent="0.3">
      <c r="E118" s="17"/>
    </row>
    <row r="119" spans="5:5" ht="15.75" thickBot="1" x14ac:dyDescent="0.3">
      <c r="E119" s="17"/>
    </row>
    <row r="120" spans="5:5" ht="15.75" thickBot="1" x14ac:dyDescent="0.3">
      <c r="E120" s="17"/>
    </row>
    <row r="121" spans="5:5" ht="15.75" thickBot="1" x14ac:dyDescent="0.3">
      <c r="E121" s="17"/>
    </row>
    <row r="122" spans="5:5" ht="15.75" thickBot="1" x14ac:dyDescent="0.3">
      <c r="E122" s="17"/>
    </row>
    <row r="123" spans="5:5" ht="15.75" thickBot="1" x14ac:dyDescent="0.3">
      <c r="E123" s="17"/>
    </row>
    <row r="124" spans="5:5" ht="15.75" thickBot="1" x14ac:dyDescent="0.3">
      <c r="E124" s="17"/>
    </row>
    <row r="125" spans="5:5" ht="15.75" thickBot="1" x14ac:dyDescent="0.3">
      <c r="E125" s="17"/>
    </row>
    <row r="126" spans="5:5" ht="15.75" thickBot="1" x14ac:dyDescent="0.3">
      <c r="E126" s="17"/>
    </row>
    <row r="127" spans="5:5" ht="15.75" thickBot="1" x14ac:dyDescent="0.3">
      <c r="E127" s="17"/>
    </row>
    <row r="128" spans="5:5" ht="15.75" thickBot="1" x14ac:dyDescent="0.3">
      <c r="E128" s="17"/>
    </row>
    <row r="129" spans="5:5" ht="15.75" thickBot="1" x14ac:dyDescent="0.3">
      <c r="E129" s="17"/>
    </row>
    <row r="130" spans="5:5" ht="15.75" thickBot="1" x14ac:dyDescent="0.3">
      <c r="E130" s="17"/>
    </row>
    <row r="131" spans="5:5" ht="15.75" thickBot="1" x14ac:dyDescent="0.3">
      <c r="E131" s="17"/>
    </row>
    <row r="132" spans="5:5" ht="15.75" thickBot="1" x14ac:dyDescent="0.3">
      <c r="E132" s="17"/>
    </row>
    <row r="133" spans="5:5" ht="15.75" thickBot="1" x14ac:dyDescent="0.3">
      <c r="E133" s="17"/>
    </row>
    <row r="134" spans="5:5" ht="15.75" thickBot="1" x14ac:dyDescent="0.3">
      <c r="E134" s="17"/>
    </row>
    <row r="135" spans="5:5" ht="15.75" thickBot="1" x14ac:dyDescent="0.3">
      <c r="E135" s="17"/>
    </row>
    <row r="136" spans="5:5" ht="15.75" thickBot="1" x14ac:dyDescent="0.3">
      <c r="E136" s="17"/>
    </row>
    <row r="137" spans="5:5" ht="15.75" thickBot="1" x14ac:dyDescent="0.3">
      <c r="E137" s="17"/>
    </row>
    <row r="138" spans="5:5" ht="15.75" thickBot="1" x14ac:dyDescent="0.3">
      <c r="E138" s="17"/>
    </row>
    <row r="139" spans="5:5" ht="15.75" thickBot="1" x14ac:dyDescent="0.3">
      <c r="E139" s="17"/>
    </row>
    <row r="140" spans="5:5" ht="15.75" thickBot="1" x14ac:dyDescent="0.3">
      <c r="E140" s="17"/>
    </row>
    <row r="141" spans="5:5" ht="15.75" thickBot="1" x14ac:dyDescent="0.3">
      <c r="E141" s="17"/>
    </row>
    <row r="142" spans="5:5" ht="15.75" thickBot="1" x14ac:dyDescent="0.3">
      <c r="E142" s="17"/>
    </row>
    <row r="143" spans="5:5" ht="15.75" thickBot="1" x14ac:dyDescent="0.3">
      <c r="E143" s="17"/>
    </row>
    <row r="144" spans="5:5" ht="15.75" thickBot="1" x14ac:dyDescent="0.3">
      <c r="E144" s="17"/>
    </row>
    <row r="145" spans="5:5" ht="15.75" thickBot="1" x14ac:dyDescent="0.3">
      <c r="E145" s="17"/>
    </row>
    <row r="146" spans="5:5" ht="15.75" thickBot="1" x14ac:dyDescent="0.3">
      <c r="E146" s="17"/>
    </row>
    <row r="147" spans="5:5" ht="15.75" thickBot="1" x14ac:dyDescent="0.3">
      <c r="E147" s="17"/>
    </row>
    <row r="148" spans="5:5" ht="15.75" thickBot="1" x14ac:dyDescent="0.3">
      <c r="E148" s="17"/>
    </row>
    <row r="149" spans="5:5" ht="15.75" thickBot="1" x14ac:dyDescent="0.3">
      <c r="E149" s="17"/>
    </row>
    <row r="150" spans="5:5" ht="15.75" thickBot="1" x14ac:dyDescent="0.3">
      <c r="E150" s="17"/>
    </row>
    <row r="151" spans="5:5" ht="15.75" thickBot="1" x14ac:dyDescent="0.3">
      <c r="E151" s="17"/>
    </row>
    <row r="152" spans="5:5" ht="15.75" thickBot="1" x14ac:dyDescent="0.3">
      <c r="E152" s="17"/>
    </row>
    <row r="153" spans="5:5" ht="15.75" thickBot="1" x14ac:dyDescent="0.3">
      <c r="E153" s="17"/>
    </row>
    <row r="154" spans="5:5" ht="15.75" thickBot="1" x14ac:dyDescent="0.3">
      <c r="E154" s="17"/>
    </row>
    <row r="155" spans="5:5" ht="15.75" thickBot="1" x14ac:dyDescent="0.3">
      <c r="E155" s="17"/>
    </row>
    <row r="156" spans="5:5" ht="15.75" thickBot="1" x14ac:dyDescent="0.3">
      <c r="E156" s="17"/>
    </row>
    <row r="157" spans="5:5" ht="15.75" thickBot="1" x14ac:dyDescent="0.3">
      <c r="E157" s="17"/>
    </row>
    <row r="158" spans="5:5" ht="15.75" thickBot="1" x14ac:dyDescent="0.3">
      <c r="E158" s="17"/>
    </row>
    <row r="159" spans="5:5" ht="15.75" thickBot="1" x14ac:dyDescent="0.3">
      <c r="E159" s="17"/>
    </row>
    <row r="160" spans="5:5" ht="15.75" thickBot="1" x14ac:dyDescent="0.3">
      <c r="E160" s="17"/>
    </row>
    <row r="161" spans="5:5" ht="15.75" thickBot="1" x14ac:dyDescent="0.3">
      <c r="E161" s="17"/>
    </row>
    <row r="162" spans="5:5" ht="15.75" thickBot="1" x14ac:dyDescent="0.3">
      <c r="E162" s="17"/>
    </row>
    <row r="163" spans="5:5" ht="15.75" thickBot="1" x14ac:dyDescent="0.3">
      <c r="E163" s="17"/>
    </row>
    <row r="164" spans="5:5" ht="15.75" thickBot="1" x14ac:dyDescent="0.3">
      <c r="E164" s="17"/>
    </row>
    <row r="165" spans="5:5" ht="15.75" thickBot="1" x14ac:dyDescent="0.3">
      <c r="E165" s="17"/>
    </row>
    <row r="166" spans="5:5" ht="15.75" thickBot="1" x14ac:dyDescent="0.3">
      <c r="E166" s="17"/>
    </row>
    <row r="167" spans="5:5" ht="15.75" thickBot="1" x14ac:dyDescent="0.3">
      <c r="E167" s="17"/>
    </row>
    <row r="168" spans="5:5" ht="15.75" thickBot="1" x14ac:dyDescent="0.3">
      <c r="E168" s="17"/>
    </row>
    <row r="169" spans="5:5" ht="15.75" thickBot="1" x14ac:dyDescent="0.3">
      <c r="E169" s="17"/>
    </row>
    <row r="170" spans="5:5" ht="15.75" thickBot="1" x14ac:dyDescent="0.3">
      <c r="E170" s="17"/>
    </row>
    <row r="171" spans="5:5" ht="15.75" thickBot="1" x14ac:dyDescent="0.3">
      <c r="E171" s="17"/>
    </row>
    <row r="172" spans="5:5" ht="15.75" thickBot="1" x14ac:dyDescent="0.3">
      <c r="E172" s="17"/>
    </row>
    <row r="173" spans="5:5" ht="15.75" thickBot="1" x14ac:dyDescent="0.3">
      <c r="E173" s="17"/>
    </row>
    <row r="174" spans="5:5" ht="15.75" thickBot="1" x14ac:dyDescent="0.3">
      <c r="E174" s="17"/>
    </row>
    <row r="175" spans="5:5" ht="15.75" thickBot="1" x14ac:dyDescent="0.3">
      <c r="E175" s="17"/>
    </row>
    <row r="176" spans="5:5" ht="15.75" thickBot="1" x14ac:dyDescent="0.3">
      <c r="E176" s="17"/>
    </row>
    <row r="177" spans="5:5" ht="15.75" thickBot="1" x14ac:dyDescent="0.3">
      <c r="E177" s="17"/>
    </row>
    <row r="178" spans="5:5" ht="15.75" thickBot="1" x14ac:dyDescent="0.3">
      <c r="E178" s="17"/>
    </row>
    <row r="179" spans="5:5" ht="15.75" thickBot="1" x14ac:dyDescent="0.3">
      <c r="E179" s="17"/>
    </row>
    <row r="180" spans="5:5" ht="15.75" thickBot="1" x14ac:dyDescent="0.3">
      <c r="E180" s="17"/>
    </row>
    <row r="181" spans="5:5" ht="15.75" thickBot="1" x14ac:dyDescent="0.3">
      <c r="E181" s="17"/>
    </row>
    <row r="182" spans="5:5" ht="15.75" thickBot="1" x14ac:dyDescent="0.3">
      <c r="E182" s="17"/>
    </row>
    <row r="183" spans="5:5" ht="15.75" thickBot="1" x14ac:dyDescent="0.3">
      <c r="E183" s="17"/>
    </row>
    <row r="184" spans="5:5" ht="15.75" thickBot="1" x14ac:dyDescent="0.3">
      <c r="E184" s="17"/>
    </row>
    <row r="185" spans="5:5" ht="15.75" thickBot="1" x14ac:dyDescent="0.3">
      <c r="E185" s="17"/>
    </row>
    <row r="186" spans="5:5" ht="15.75" thickBot="1" x14ac:dyDescent="0.3">
      <c r="E186" s="17"/>
    </row>
    <row r="187" spans="5:5" ht="15.75" thickBot="1" x14ac:dyDescent="0.3">
      <c r="E187" s="17"/>
    </row>
    <row r="188" spans="5:5" ht="15.75" thickBot="1" x14ac:dyDescent="0.3">
      <c r="E188" s="17"/>
    </row>
    <row r="189" spans="5:5" ht="15.75" thickBot="1" x14ac:dyDescent="0.3">
      <c r="E189" s="17"/>
    </row>
    <row r="190" spans="5:5" ht="15.75" thickBot="1" x14ac:dyDescent="0.3">
      <c r="E190" s="17"/>
    </row>
    <row r="191" spans="5:5" ht="15.75" thickBot="1" x14ac:dyDescent="0.3">
      <c r="E191" s="17"/>
    </row>
    <row r="192" spans="5:5" ht="15.75" thickBot="1" x14ac:dyDescent="0.3">
      <c r="E192" s="17"/>
    </row>
    <row r="193" spans="5:5" ht="15.75" thickBot="1" x14ac:dyDescent="0.3">
      <c r="E193" s="17"/>
    </row>
    <row r="194" spans="5:5" ht="15.75" thickBot="1" x14ac:dyDescent="0.3">
      <c r="E194" s="17"/>
    </row>
    <row r="195" spans="5:5" ht="15.75" thickBot="1" x14ac:dyDescent="0.3">
      <c r="E195" s="17"/>
    </row>
    <row r="196" spans="5:5" ht="15.75" thickBot="1" x14ac:dyDescent="0.3">
      <c r="E196" s="17"/>
    </row>
    <row r="197" spans="5:5" ht="15.75" thickBot="1" x14ac:dyDescent="0.3">
      <c r="E197" s="17"/>
    </row>
    <row r="198" spans="5:5" ht="15.75" thickBot="1" x14ac:dyDescent="0.3">
      <c r="E198" s="17"/>
    </row>
    <row r="199" spans="5:5" ht="15.75" thickBot="1" x14ac:dyDescent="0.3">
      <c r="E199" s="17"/>
    </row>
    <row r="200" spans="5:5" ht="15.75" thickBot="1" x14ac:dyDescent="0.3">
      <c r="E200" s="17"/>
    </row>
    <row r="201" spans="5:5" ht="15.75" thickBot="1" x14ac:dyDescent="0.3">
      <c r="E201" s="17"/>
    </row>
    <row r="202" spans="5:5" ht="15.75" thickBot="1" x14ac:dyDescent="0.3">
      <c r="E202" s="17"/>
    </row>
    <row r="203" spans="5:5" ht="15.75" thickBot="1" x14ac:dyDescent="0.3">
      <c r="E203" s="17"/>
    </row>
    <row r="204" spans="5:5" ht="15.75" thickBot="1" x14ac:dyDescent="0.3">
      <c r="E204" s="17"/>
    </row>
    <row r="205" spans="5:5" ht="15.75" thickBot="1" x14ac:dyDescent="0.3">
      <c r="E205" s="17"/>
    </row>
    <row r="206" spans="5:5" ht="15.75" thickBot="1" x14ac:dyDescent="0.3">
      <c r="E206" s="17"/>
    </row>
    <row r="207" spans="5:5" ht="15.75" thickBot="1" x14ac:dyDescent="0.3">
      <c r="E207" s="17"/>
    </row>
    <row r="208" spans="5:5" ht="15.75" thickBot="1" x14ac:dyDescent="0.3">
      <c r="E208" s="17"/>
    </row>
    <row r="209" spans="5:5" ht="15.75" thickBot="1" x14ac:dyDescent="0.3">
      <c r="E209" s="17"/>
    </row>
    <row r="210" spans="5:5" ht="15.75" thickBot="1" x14ac:dyDescent="0.3">
      <c r="E210" s="17"/>
    </row>
    <row r="211" spans="5:5" ht="15.75" thickBot="1" x14ac:dyDescent="0.3">
      <c r="E211" s="17"/>
    </row>
    <row r="212" spans="5:5" ht="15.75" thickBot="1" x14ac:dyDescent="0.3">
      <c r="E212" s="17"/>
    </row>
    <row r="213" spans="5:5" ht="15.75" thickBot="1" x14ac:dyDescent="0.3">
      <c r="E213" s="17"/>
    </row>
    <row r="214" spans="5:5" ht="15.75" thickBot="1" x14ac:dyDescent="0.3">
      <c r="E214" s="17"/>
    </row>
    <row r="215" spans="5:5" ht="15.75" thickBot="1" x14ac:dyDescent="0.3">
      <c r="E215" s="17"/>
    </row>
    <row r="216" spans="5:5" ht="15.75" thickBot="1" x14ac:dyDescent="0.3">
      <c r="E216" s="17"/>
    </row>
    <row r="217" spans="5:5" ht="15.75" thickBot="1" x14ac:dyDescent="0.3">
      <c r="E217" s="17"/>
    </row>
    <row r="218" spans="5:5" ht="15.75" thickBot="1" x14ac:dyDescent="0.3">
      <c r="E218" s="17"/>
    </row>
    <row r="219" spans="5:5" ht="15.75" thickBot="1" x14ac:dyDescent="0.3">
      <c r="E219" s="17"/>
    </row>
    <row r="220" spans="5:5" ht="15.75" thickBot="1" x14ac:dyDescent="0.3">
      <c r="E220" s="17"/>
    </row>
    <row r="221" spans="5:5" ht="15.75" thickBot="1" x14ac:dyDescent="0.3">
      <c r="E221" s="17"/>
    </row>
    <row r="222" spans="5:5" ht="15.75" thickBot="1" x14ac:dyDescent="0.3">
      <c r="E222" s="17"/>
    </row>
    <row r="223" spans="5:5" ht="15.75" thickBot="1" x14ac:dyDescent="0.3">
      <c r="E223" s="17"/>
    </row>
    <row r="224" spans="5:5" ht="15.75" thickBot="1" x14ac:dyDescent="0.3">
      <c r="E224" s="17"/>
    </row>
    <row r="225" spans="5:5" ht="15.75" thickBot="1" x14ac:dyDescent="0.3">
      <c r="E225" s="17"/>
    </row>
    <row r="226" spans="5:5" ht="15.75" thickBot="1" x14ac:dyDescent="0.3">
      <c r="E226" s="17"/>
    </row>
    <row r="227" spans="5:5" ht="15.75" thickBot="1" x14ac:dyDescent="0.3">
      <c r="E227" s="17"/>
    </row>
    <row r="228" spans="5:5" ht="15.75" thickBot="1" x14ac:dyDescent="0.3">
      <c r="E228" s="17"/>
    </row>
    <row r="229" spans="5:5" ht="15.75" thickBot="1" x14ac:dyDescent="0.3">
      <c r="E229" s="17"/>
    </row>
    <row r="230" spans="5:5" ht="15.75" thickBot="1" x14ac:dyDescent="0.3">
      <c r="E230" s="17"/>
    </row>
    <row r="231" spans="5:5" ht="15.75" thickBot="1" x14ac:dyDescent="0.3">
      <c r="E231" s="17"/>
    </row>
    <row r="232" spans="5:5" ht="15.75" thickBot="1" x14ac:dyDescent="0.3">
      <c r="E232" s="17"/>
    </row>
    <row r="233" spans="5:5" ht="15.75" thickBot="1" x14ac:dyDescent="0.3">
      <c r="E233" s="17"/>
    </row>
    <row r="234" spans="5:5" ht="15.75" thickBot="1" x14ac:dyDescent="0.3">
      <c r="E234" s="17"/>
    </row>
    <row r="235" spans="5:5" ht="15.75" thickBot="1" x14ac:dyDescent="0.3">
      <c r="E235" s="17"/>
    </row>
    <row r="236" spans="5:5" ht="15.75" thickBot="1" x14ac:dyDescent="0.3">
      <c r="E236" s="17"/>
    </row>
    <row r="237" spans="5:5" ht="15.75" thickBot="1" x14ac:dyDescent="0.3">
      <c r="E237" s="17"/>
    </row>
    <row r="238" spans="5:5" ht="15.75" thickBot="1" x14ac:dyDescent="0.3">
      <c r="E238" s="17"/>
    </row>
    <row r="239" spans="5:5" ht="15.75" thickBot="1" x14ac:dyDescent="0.3">
      <c r="E239" s="17"/>
    </row>
    <row r="240" spans="5:5" ht="15.75" thickBot="1" x14ac:dyDescent="0.3">
      <c r="E240" s="17"/>
    </row>
    <row r="241" spans="5:5" ht="15.75" thickBot="1" x14ac:dyDescent="0.3">
      <c r="E241" s="17"/>
    </row>
    <row r="242" spans="5:5" ht="15.75" thickBot="1" x14ac:dyDescent="0.3">
      <c r="E242" s="17"/>
    </row>
    <row r="243" spans="5:5" ht="15.75" thickBot="1" x14ac:dyDescent="0.3">
      <c r="E243" s="17"/>
    </row>
    <row r="244" spans="5:5" ht="15.75" thickBot="1" x14ac:dyDescent="0.3">
      <c r="E244" s="17"/>
    </row>
    <row r="245" spans="5:5" ht="15.75" thickBot="1" x14ac:dyDescent="0.3">
      <c r="E245" s="17"/>
    </row>
    <row r="246" spans="5:5" ht="15.75" thickBot="1" x14ac:dyDescent="0.3">
      <c r="E246" s="17"/>
    </row>
    <row r="247" spans="5:5" ht="15.75" thickBot="1" x14ac:dyDescent="0.3">
      <c r="E247" s="17"/>
    </row>
    <row r="248" spans="5:5" ht="15.75" thickBot="1" x14ac:dyDescent="0.3">
      <c r="E248" s="17"/>
    </row>
    <row r="249" spans="5:5" ht="15.75" thickBot="1" x14ac:dyDescent="0.3">
      <c r="E249" s="17"/>
    </row>
    <row r="250" spans="5:5" ht="15.75" thickBot="1" x14ac:dyDescent="0.3">
      <c r="E250" s="17"/>
    </row>
    <row r="251" spans="5:5" ht="15.75" thickBot="1" x14ac:dyDescent="0.3">
      <c r="E251" s="17"/>
    </row>
    <row r="252" spans="5:5" ht="15.75" thickBot="1" x14ac:dyDescent="0.3">
      <c r="E252" s="17"/>
    </row>
    <row r="253" spans="5:5" ht="15.75" thickBot="1" x14ac:dyDescent="0.3">
      <c r="E253" s="17"/>
    </row>
    <row r="254" spans="5:5" ht="15.75" thickBot="1" x14ac:dyDescent="0.3">
      <c r="E254" s="17"/>
    </row>
    <row r="255" spans="5:5" ht="15.75" thickBot="1" x14ac:dyDescent="0.3">
      <c r="E255" s="17"/>
    </row>
    <row r="256" spans="5:5" ht="15.75" thickBot="1" x14ac:dyDescent="0.3">
      <c r="E256" s="17"/>
    </row>
    <row r="257" spans="5:5" ht="15.75" thickBot="1" x14ac:dyDescent="0.3">
      <c r="E257" s="17"/>
    </row>
    <row r="258" spans="5:5" ht="15.75" thickBot="1" x14ac:dyDescent="0.3">
      <c r="E258" s="17"/>
    </row>
    <row r="259" spans="5:5" ht="15.75" thickBot="1" x14ac:dyDescent="0.3">
      <c r="E259" s="17"/>
    </row>
    <row r="260" spans="5:5" ht="15.75" thickBot="1" x14ac:dyDescent="0.3">
      <c r="E260" s="17"/>
    </row>
    <row r="261" spans="5:5" ht="15.75" thickBot="1" x14ac:dyDescent="0.3">
      <c r="E261" s="17"/>
    </row>
    <row r="262" spans="5:5" ht="15.75" thickBot="1" x14ac:dyDescent="0.3">
      <c r="E262" s="17"/>
    </row>
    <row r="263" spans="5:5" ht="15.75" thickBot="1" x14ac:dyDescent="0.3">
      <c r="E263" s="17"/>
    </row>
    <row r="264" spans="5:5" ht="15.75" thickBot="1" x14ac:dyDescent="0.3">
      <c r="E264" s="17"/>
    </row>
    <row r="265" spans="5:5" ht="15.75" thickBot="1" x14ac:dyDescent="0.3">
      <c r="E265" s="17"/>
    </row>
    <row r="266" spans="5:5" ht="15.75" thickBot="1" x14ac:dyDescent="0.3">
      <c r="E266" s="17"/>
    </row>
    <row r="267" spans="5:5" ht="15.75" thickBot="1" x14ac:dyDescent="0.3">
      <c r="E267" s="17"/>
    </row>
    <row r="268" spans="5:5" ht="15.75" thickBot="1" x14ac:dyDescent="0.3">
      <c r="E268" s="17"/>
    </row>
    <row r="269" spans="5:5" ht="15.75" thickBot="1" x14ac:dyDescent="0.3">
      <c r="E269" s="17"/>
    </row>
    <row r="270" spans="5:5" ht="15.75" thickBot="1" x14ac:dyDescent="0.3">
      <c r="E270" s="17"/>
    </row>
    <row r="271" spans="5:5" ht="15.75" thickBot="1" x14ac:dyDescent="0.3">
      <c r="E271" s="17"/>
    </row>
    <row r="272" spans="5:5" ht="15.75" thickBot="1" x14ac:dyDescent="0.3">
      <c r="E272" s="17"/>
    </row>
    <row r="273" spans="5:5" ht="15.75" thickBot="1" x14ac:dyDescent="0.3">
      <c r="E273" s="17"/>
    </row>
    <row r="274" spans="5:5" ht="15.75" thickBot="1" x14ac:dyDescent="0.3">
      <c r="E274" s="17"/>
    </row>
    <row r="275" spans="5:5" ht="15.75" thickBot="1" x14ac:dyDescent="0.3">
      <c r="E275" s="17"/>
    </row>
    <row r="276" spans="5:5" ht="15.75" thickBot="1" x14ac:dyDescent="0.3">
      <c r="E276" s="17"/>
    </row>
    <row r="277" spans="5:5" ht="15.75" thickBot="1" x14ac:dyDescent="0.3">
      <c r="E277" s="17"/>
    </row>
    <row r="278" spans="5:5" ht="15.75" thickBot="1" x14ac:dyDescent="0.3">
      <c r="E278" s="17"/>
    </row>
    <row r="279" spans="5:5" ht="15.75" thickBot="1" x14ac:dyDescent="0.3">
      <c r="E279" s="17"/>
    </row>
    <row r="280" spans="5:5" ht="15.75" thickBot="1" x14ac:dyDescent="0.3">
      <c r="E280" s="17"/>
    </row>
    <row r="281" spans="5:5" ht="15.75" thickBot="1" x14ac:dyDescent="0.3">
      <c r="E281" s="17"/>
    </row>
    <row r="282" spans="5:5" ht="15.75" thickBot="1" x14ac:dyDescent="0.3">
      <c r="E282" s="17"/>
    </row>
    <row r="283" spans="5:5" ht="15.75" thickBot="1" x14ac:dyDescent="0.3">
      <c r="E283" s="17"/>
    </row>
    <row r="284" spans="5:5" ht="15.75" thickBot="1" x14ac:dyDescent="0.3">
      <c r="E284" s="17"/>
    </row>
    <row r="285" spans="5:5" ht="15.75" thickBot="1" x14ac:dyDescent="0.3">
      <c r="E285" s="17"/>
    </row>
    <row r="286" spans="5:5" ht="15.75" thickBot="1" x14ac:dyDescent="0.3">
      <c r="E286" s="17"/>
    </row>
    <row r="287" spans="5:5" ht="15.75" thickBot="1" x14ac:dyDescent="0.3">
      <c r="E287" s="17"/>
    </row>
    <row r="288" spans="5:5" ht="15.75" thickBot="1" x14ac:dyDescent="0.3">
      <c r="E288" s="17"/>
    </row>
    <row r="289" spans="5:5" ht="15.75" thickBot="1" x14ac:dyDescent="0.3">
      <c r="E289" s="17"/>
    </row>
    <row r="290" spans="5:5" ht="15.75" thickBot="1" x14ac:dyDescent="0.3">
      <c r="E290" s="17"/>
    </row>
    <row r="291" spans="5:5" ht="15.75" thickBot="1" x14ac:dyDescent="0.3">
      <c r="E291" s="17"/>
    </row>
    <row r="292" spans="5:5" ht="15.75" thickBot="1" x14ac:dyDescent="0.3">
      <c r="E292" s="17"/>
    </row>
    <row r="293" spans="5:5" ht="15.75" thickBot="1" x14ac:dyDescent="0.3">
      <c r="E293" s="17"/>
    </row>
    <row r="294" spans="5:5" ht="15.75" thickBot="1" x14ac:dyDescent="0.3">
      <c r="E294" s="17"/>
    </row>
    <row r="295" spans="5:5" ht="15.75" thickBot="1" x14ac:dyDescent="0.3">
      <c r="E295" s="17"/>
    </row>
    <row r="296" spans="5:5" ht="15.75" thickBot="1" x14ac:dyDescent="0.3">
      <c r="E296" s="17"/>
    </row>
    <row r="297" spans="5:5" ht="15.75" thickBot="1" x14ac:dyDescent="0.3">
      <c r="E297" s="17"/>
    </row>
    <row r="298" spans="5:5" ht="15.75" thickBot="1" x14ac:dyDescent="0.3">
      <c r="E298" s="17"/>
    </row>
    <row r="299" spans="5:5" ht="15.75" thickBot="1" x14ac:dyDescent="0.3">
      <c r="E299" s="17"/>
    </row>
    <row r="300" spans="5:5" ht="15.75" thickBot="1" x14ac:dyDescent="0.3">
      <c r="E300" s="17"/>
    </row>
    <row r="301" spans="5:5" ht="15.75" thickBot="1" x14ac:dyDescent="0.3">
      <c r="E301" s="17"/>
    </row>
    <row r="302" spans="5:5" ht="15.75" thickBot="1" x14ac:dyDescent="0.3">
      <c r="E302" s="17"/>
    </row>
    <row r="303" spans="5:5" ht="15.75" thickBot="1" x14ac:dyDescent="0.3">
      <c r="E303" s="17"/>
    </row>
    <row r="304" spans="5:5" ht="15.75" thickBot="1" x14ac:dyDescent="0.3">
      <c r="E304" s="17"/>
    </row>
    <row r="305" spans="5:5" ht="15.75" thickBot="1" x14ac:dyDescent="0.3">
      <c r="E305" s="17"/>
    </row>
    <row r="306" spans="5:5" ht="15.75" thickBot="1" x14ac:dyDescent="0.3">
      <c r="E306" s="17"/>
    </row>
    <row r="307" spans="5:5" ht="15.75" thickBot="1" x14ac:dyDescent="0.3">
      <c r="E307" s="17"/>
    </row>
    <row r="308" spans="5:5" ht="15.75" thickBot="1" x14ac:dyDescent="0.3">
      <c r="E308" s="17"/>
    </row>
    <row r="309" spans="5:5" ht="15.75" thickBot="1" x14ac:dyDescent="0.3">
      <c r="E309" s="17"/>
    </row>
    <row r="310" spans="5:5" ht="15.75" thickBot="1" x14ac:dyDescent="0.3">
      <c r="E310" s="17"/>
    </row>
    <row r="311" spans="5:5" ht="15.75" thickBot="1" x14ac:dyDescent="0.3">
      <c r="E311" s="17"/>
    </row>
    <row r="312" spans="5:5" ht="15.75" thickBot="1" x14ac:dyDescent="0.3">
      <c r="E312" s="17"/>
    </row>
    <row r="313" spans="5:5" ht="15.75" thickBot="1" x14ac:dyDescent="0.3">
      <c r="E313" s="17"/>
    </row>
    <row r="314" spans="5:5" ht="15.75" thickBot="1" x14ac:dyDescent="0.3">
      <c r="E314" s="17"/>
    </row>
    <row r="315" spans="5:5" ht="15.75" thickBot="1" x14ac:dyDescent="0.3">
      <c r="E315" s="17"/>
    </row>
    <row r="316" spans="5:5" ht="15.75" thickBot="1" x14ac:dyDescent="0.3">
      <c r="E316" s="17"/>
    </row>
    <row r="317" spans="5:5" ht="15.75" thickBot="1" x14ac:dyDescent="0.3">
      <c r="E317" s="17"/>
    </row>
    <row r="318" spans="5:5" ht="15.75" thickBot="1" x14ac:dyDescent="0.3">
      <c r="E318" s="17"/>
    </row>
    <row r="319" spans="5:5" ht="15.75" thickBot="1" x14ac:dyDescent="0.3">
      <c r="E319" s="17"/>
    </row>
    <row r="320" spans="5:5" ht="15.75" thickBot="1" x14ac:dyDescent="0.3">
      <c r="E320" s="17"/>
    </row>
    <row r="321" spans="5:5" ht="15.75" thickBot="1" x14ac:dyDescent="0.3">
      <c r="E321" s="17"/>
    </row>
    <row r="322" spans="5:5" ht="15.75" thickBot="1" x14ac:dyDescent="0.3">
      <c r="E322" s="17"/>
    </row>
    <row r="323" spans="5:5" ht="15.75" thickBot="1" x14ac:dyDescent="0.3">
      <c r="E323" s="17"/>
    </row>
    <row r="324" spans="5:5" ht="15.75" thickBot="1" x14ac:dyDescent="0.3">
      <c r="E324" s="17"/>
    </row>
    <row r="325" spans="5:5" ht="15.75" thickBot="1" x14ac:dyDescent="0.3">
      <c r="E325" s="17"/>
    </row>
    <row r="326" spans="5:5" ht="15.75" thickBot="1" x14ac:dyDescent="0.3">
      <c r="E326" s="17"/>
    </row>
    <row r="327" spans="5:5" ht="15.75" thickBot="1" x14ac:dyDescent="0.3">
      <c r="E327" s="17"/>
    </row>
    <row r="328" spans="5:5" ht="15.75" thickBot="1" x14ac:dyDescent="0.3">
      <c r="E328" s="17"/>
    </row>
    <row r="329" spans="5:5" ht="15.75" thickBot="1" x14ac:dyDescent="0.3">
      <c r="E329" s="17"/>
    </row>
    <row r="330" spans="5:5" ht="15.75" thickBot="1" x14ac:dyDescent="0.3">
      <c r="E330" s="17"/>
    </row>
    <row r="331" spans="5:5" ht="15.75" thickBot="1" x14ac:dyDescent="0.3">
      <c r="E331" s="17"/>
    </row>
    <row r="332" spans="5:5" ht="15.75" thickBot="1" x14ac:dyDescent="0.3">
      <c r="E332" s="17"/>
    </row>
    <row r="333" spans="5:5" ht="15.75" thickBot="1" x14ac:dyDescent="0.3">
      <c r="E333" s="17"/>
    </row>
    <row r="334" spans="5:5" ht="15.75" thickBot="1" x14ac:dyDescent="0.3">
      <c r="E334" s="17"/>
    </row>
    <row r="335" spans="5:5" ht="15.75" thickBot="1" x14ac:dyDescent="0.3">
      <c r="E335" s="17"/>
    </row>
    <row r="336" spans="5:5" ht="15.75" thickBot="1" x14ac:dyDescent="0.3">
      <c r="E336" s="17"/>
    </row>
    <row r="337" spans="5:5" ht="15.75" thickBot="1" x14ac:dyDescent="0.3">
      <c r="E337" s="17"/>
    </row>
    <row r="338" spans="5:5" ht="15.75" thickBot="1" x14ac:dyDescent="0.3">
      <c r="E338" s="17"/>
    </row>
    <row r="339" spans="5:5" ht="15.75" thickBot="1" x14ac:dyDescent="0.3">
      <c r="E339" s="17"/>
    </row>
    <row r="340" spans="5:5" ht="15.75" thickBot="1" x14ac:dyDescent="0.3">
      <c r="E340" s="17"/>
    </row>
    <row r="341" spans="5:5" ht="15.75" thickBot="1" x14ac:dyDescent="0.3">
      <c r="E341" s="17"/>
    </row>
    <row r="342" spans="5:5" ht="15.75" thickBot="1" x14ac:dyDescent="0.3">
      <c r="E342" s="17"/>
    </row>
    <row r="343" spans="5:5" ht="15.75" thickBot="1" x14ac:dyDescent="0.3">
      <c r="E343" s="17"/>
    </row>
    <row r="344" spans="5:5" ht="15.75" thickBot="1" x14ac:dyDescent="0.3">
      <c r="E344" s="17"/>
    </row>
    <row r="345" spans="5:5" ht="15.75" thickBot="1" x14ac:dyDescent="0.3">
      <c r="E345" s="17"/>
    </row>
    <row r="346" spans="5:5" ht="15.75" thickBot="1" x14ac:dyDescent="0.3">
      <c r="E346" s="17"/>
    </row>
    <row r="347" spans="5:5" ht="15.75" thickBot="1" x14ac:dyDescent="0.3">
      <c r="E347" s="17"/>
    </row>
    <row r="348" spans="5:5" ht="15.75" thickBot="1" x14ac:dyDescent="0.3">
      <c r="E348" s="17"/>
    </row>
    <row r="349" spans="5:5" ht="15.75" thickBot="1" x14ac:dyDescent="0.3">
      <c r="E349" s="17"/>
    </row>
    <row r="350" spans="5:5" ht="15.75" thickBot="1" x14ac:dyDescent="0.3">
      <c r="E350" s="17"/>
    </row>
    <row r="351" spans="5:5" ht="15.75" thickBot="1" x14ac:dyDescent="0.3">
      <c r="E351" s="17"/>
    </row>
    <row r="352" spans="5:5" ht="15.75" thickBot="1" x14ac:dyDescent="0.3">
      <c r="E352" s="17"/>
    </row>
    <row r="353" spans="5:5" ht="15.75" thickBot="1" x14ac:dyDescent="0.3">
      <c r="E353" s="17"/>
    </row>
    <row r="354" spans="5:5" ht="15.75" thickBot="1" x14ac:dyDescent="0.3">
      <c r="E354" s="17"/>
    </row>
    <row r="355" spans="5:5" ht="15.75" thickBot="1" x14ac:dyDescent="0.3">
      <c r="E355" s="17"/>
    </row>
    <row r="356" spans="5:5" ht="15.75" thickBot="1" x14ac:dyDescent="0.3">
      <c r="E356" s="17"/>
    </row>
    <row r="357" spans="5:5" ht="15.75" thickBot="1" x14ac:dyDescent="0.3">
      <c r="E357" s="17"/>
    </row>
    <row r="358" spans="5:5" ht="15.75" thickBot="1" x14ac:dyDescent="0.3">
      <c r="E358" s="17"/>
    </row>
    <row r="359" spans="5:5" ht="15.75" thickBot="1" x14ac:dyDescent="0.3">
      <c r="E359" s="17"/>
    </row>
    <row r="360" spans="5:5" ht="15.75" thickBot="1" x14ac:dyDescent="0.3">
      <c r="E360" s="17"/>
    </row>
    <row r="361" spans="5:5" ht="15.75" thickBot="1" x14ac:dyDescent="0.3">
      <c r="E361" s="17"/>
    </row>
    <row r="362" spans="5:5" ht="15.75" thickBot="1" x14ac:dyDescent="0.3">
      <c r="E362" s="17"/>
    </row>
    <row r="363" spans="5:5" ht="15.75" thickBot="1" x14ac:dyDescent="0.3">
      <c r="E363" s="17"/>
    </row>
    <row r="364" spans="5:5" ht="15.75" thickBot="1" x14ac:dyDescent="0.3">
      <c r="E364" s="17"/>
    </row>
    <row r="365" spans="5:5" ht="15.75" thickBot="1" x14ac:dyDescent="0.3">
      <c r="E365" s="17"/>
    </row>
    <row r="366" spans="5:5" ht="15.75" thickBot="1" x14ac:dyDescent="0.3">
      <c r="E366" s="17"/>
    </row>
    <row r="367" spans="5:5" ht="15.75" thickBot="1" x14ac:dyDescent="0.3">
      <c r="E367" s="17"/>
    </row>
    <row r="368" spans="5:5" ht="15.75" thickBot="1" x14ac:dyDescent="0.3">
      <c r="E368" s="17"/>
    </row>
    <row r="369" spans="5:5" ht="15.75" thickBot="1" x14ac:dyDescent="0.3">
      <c r="E369" s="17"/>
    </row>
    <row r="370" spans="5:5" ht="15.75" thickBot="1" x14ac:dyDescent="0.3">
      <c r="E370" s="17"/>
    </row>
    <row r="371" spans="5:5" ht="15.75" thickBot="1" x14ac:dyDescent="0.3">
      <c r="E371" s="17"/>
    </row>
    <row r="372" spans="5:5" ht="15.75" thickBot="1" x14ac:dyDescent="0.3">
      <c r="E372" s="17"/>
    </row>
    <row r="373" spans="5:5" ht="15.75" thickBot="1" x14ac:dyDescent="0.3">
      <c r="E373" s="17"/>
    </row>
    <row r="374" spans="5:5" ht="15.75" thickBot="1" x14ac:dyDescent="0.3">
      <c r="E374" s="17"/>
    </row>
    <row r="375" spans="5:5" ht="15.75" thickBot="1" x14ac:dyDescent="0.3">
      <c r="E375" s="17"/>
    </row>
    <row r="376" spans="5:5" ht="15.75" thickBot="1" x14ac:dyDescent="0.3">
      <c r="E376" s="17"/>
    </row>
    <row r="377" spans="5:5" ht="15.75" thickBot="1" x14ac:dyDescent="0.3">
      <c r="E377" s="17"/>
    </row>
    <row r="378" spans="5:5" ht="15.75" thickBot="1" x14ac:dyDescent="0.3">
      <c r="E378" s="17"/>
    </row>
    <row r="379" spans="5:5" ht="15.75" thickBot="1" x14ac:dyDescent="0.3">
      <c r="E379" s="17"/>
    </row>
    <row r="380" spans="5:5" ht="15.75" thickBot="1" x14ac:dyDescent="0.3">
      <c r="E380" s="17"/>
    </row>
    <row r="381" spans="5:5" ht="15.75" thickBot="1" x14ac:dyDescent="0.3">
      <c r="E381" s="17"/>
    </row>
    <row r="382" spans="5:5" ht="15.75" thickBot="1" x14ac:dyDescent="0.3">
      <c r="E382" s="17"/>
    </row>
    <row r="383" spans="5:5" ht="15.75" thickBot="1" x14ac:dyDescent="0.3">
      <c r="E383" s="17"/>
    </row>
    <row r="384" spans="5:5" ht="15.75" thickBot="1" x14ac:dyDescent="0.3">
      <c r="E384" s="17"/>
    </row>
    <row r="385" spans="5:5" ht="15.75" thickBot="1" x14ac:dyDescent="0.3">
      <c r="E385" s="17"/>
    </row>
    <row r="386" spans="5:5" ht="15.75" thickBot="1" x14ac:dyDescent="0.3">
      <c r="E386" s="17"/>
    </row>
    <row r="387" spans="5:5" ht="15.75" thickBot="1" x14ac:dyDescent="0.3">
      <c r="E387" s="17"/>
    </row>
    <row r="388" spans="5:5" ht="15.75" thickBot="1" x14ac:dyDescent="0.3">
      <c r="E388" s="17"/>
    </row>
    <row r="389" spans="5:5" ht="15.75" thickBot="1" x14ac:dyDescent="0.3">
      <c r="E389" s="17"/>
    </row>
    <row r="390" spans="5:5" ht="15.75" thickBot="1" x14ac:dyDescent="0.3">
      <c r="E390" s="17"/>
    </row>
    <row r="391" spans="5:5" ht="15.75" thickBot="1" x14ac:dyDescent="0.3">
      <c r="E391" s="17"/>
    </row>
    <row r="392" spans="5:5" ht="15.75" thickBot="1" x14ac:dyDescent="0.3">
      <c r="E392" s="17"/>
    </row>
    <row r="393" spans="5:5" ht="15.75" thickBot="1" x14ac:dyDescent="0.3">
      <c r="E393" s="17"/>
    </row>
    <row r="394" spans="5:5" ht="15.75" thickBot="1" x14ac:dyDescent="0.3">
      <c r="E394" s="17"/>
    </row>
    <row r="395" spans="5:5" ht="15.75" thickBot="1" x14ac:dyDescent="0.3">
      <c r="E395" s="17"/>
    </row>
    <row r="396" spans="5:5" ht="15.75" thickBot="1" x14ac:dyDescent="0.3">
      <c r="E396" s="17"/>
    </row>
    <row r="397" spans="5:5" ht="15.75" thickBot="1" x14ac:dyDescent="0.3">
      <c r="E397" s="17"/>
    </row>
    <row r="398" spans="5:5" ht="15.75" thickBot="1" x14ac:dyDescent="0.3">
      <c r="E398" s="17"/>
    </row>
    <row r="399" spans="5:5" ht="15.75" thickBot="1" x14ac:dyDescent="0.3">
      <c r="E399" s="17"/>
    </row>
    <row r="400" spans="5:5" ht="15.75" thickBot="1" x14ac:dyDescent="0.3">
      <c r="E400" s="17"/>
    </row>
    <row r="401" spans="5:5" ht="15.75" thickBot="1" x14ac:dyDescent="0.3">
      <c r="E401" s="17"/>
    </row>
    <row r="402" spans="5:5" ht="15.75" thickBot="1" x14ac:dyDescent="0.3">
      <c r="E402" s="17"/>
    </row>
    <row r="403" spans="5:5" ht="15.75" thickBot="1" x14ac:dyDescent="0.3">
      <c r="E403" s="17"/>
    </row>
    <row r="404" spans="5:5" ht="15.75" thickBot="1" x14ac:dyDescent="0.3">
      <c r="E404" s="17"/>
    </row>
    <row r="405" spans="5:5" ht="15.75" thickBot="1" x14ac:dyDescent="0.3">
      <c r="E405" s="17"/>
    </row>
    <row r="406" spans="5:5" ht="15.75" thickBot="1" x14ac:dyDescent="0.3">
      <c r="E406" s="17"/>
    </row>
    <row r="407" spans="5:5" ht="15.75" thickBot="1" x14ac:dyDescent="0.3">
      <c r="E407" s="17"/>
    </row>
    <row r="408" spans="5:5" ht="15.75" thickBot="1" x14ac:dyDescent="0.3">
      <c r="E408" s="17"/>
    </row>
    <row r="409" spans="5:5" ht="15.75" thickBot="1" x14ac:dyDescent="0.3">
      <c r="E409" s="17"/>
    </row>
    <row r="410" spans="5:5" ht="15.75" thickBot="1" x14ac:dyDescent="0.3">
      <c r="E410" s="17"/>
    </row>
    <row r="411" spans="5:5" ht="15.75" thickBot="1" x14ac:dyDescent="0.3">
      <c r="E411" s="17"/>
    </row>
    <row r="412" spans="5:5" ht="15.75" thickBot="1" x14ac:dyDescent="0.3">
      <c r="E412" s="17"/>
    </row>
    <row r="413" spans="5:5" ht="15.75" thickBot="1" x14ac:dyDescent="0.3">
      <c r="E413" s="17"/>
    </row>
    <row r="414" spans="5:5" ht="15.75" thickBot="1" x14ac:dyDescent="0.3">
      <c r="E414" s="17"/>
    </row>
    <row r="415" spans="5:5" ht="15.75" thickBot="1" x14ac:dyDescent="0.3">
      <c r="E415" s="17"/>
    </row>
    <row r="416" spans="5:5" ht="15.75" thickBot="1" x14ac:dyDescent="0.3">
      <c r="E416" s="17"/>
    </row>
    <row r="417" spans="5:5" ht="15.75" thickBot="1" x14ac:dyDescent="0.3">
      <c r="E417" s="17"/>
    </row>
    <row r="418" spans="5:5" ht="15.75" thickBot="1" x14ac:dyDescent="0.3">
      <c r="E418" s="17"/>
    </row>
    <row r="419" spans="5:5" ht="15.75" thickBot="1" x14ac:dyDescent="0.3">
      <c r="E419" s="17"/>
    </row>
    <row r="420" spans="5:5" ht="15.75" thickBot="1" x14ac:dyDescent="0.3">
      <c r="E420" s="17"/>
    </row>
    <row r="421" spans="5:5" ht="15.75" thickBot="1" x14ac:dyDescent="0.3">
      <c r="E421" s="17"/>
    </row>
    <row r="422" spans="5:5" ht="15.75" thickBot="1" x14ac:dyDescent="0.3">
      <c r="E422" s="17"/>
    </row>
    <row r="423" spans="5:5" ht="15.75" thickBot="1" x14ac:dyDescent="0.3">
      <c r="E423" s="17"/>
    </row>
    <row r="424" spans="5:5" ht="15.75" thickBot="1" x14ac:dyDescent="0.3">
      <c r="E424" s="17"/>
    </row>
    <row r="425" spans="5:5" ht="15.75" thickBot="1" x14ac:dyDescent="0.3">
      <c r="E425" s="17"/>
    </row>
    <row r="426" spans="5:5" ht="15.75" thickBot="1" x14ac:dyDescent="0.3">
      <c r="E426" s="17"/>
    </row>
    <row r="427" spans="5:5" ht="15.75" thickBot="1" x14ac:dyDescent="0.3">
      <c r="E427" s="17"/>
    </row>
    <row r="428" spans="5:5" ht="15.75" thickBot="1" x14ac:dyDescent="0.3">
      <c r="E428" s="17"/>
    </row>
    <row r="429" spans="5:5" ht="15.75" thickBot="1" x14ac:dyDescent="0.3">
      <c r="E429" s="17"/>
    </row>
    <row r="430" spans="5:5" ht="15.75" thickBot="1" x14ac:dyDescent="0.3">
      <c r="E430" s="17"/>
    </row>
    <row r="431" spans="5:5" ht="15.75" thickBot="1" x14ac:dyDescent="0.3">
      <c r="E431" s="17"/>
    </row>
    <row r="432" spans="5:5" ht="15.75" thickBot="1" x14ac:dyDescent="0.3">
      <c r="E432" s="17"/>
    </row>
    <row r="433" spans="5:5" ht="15.75" thickBot="1" x14ac:dyDescent="0.3">
      <c r="E433" s="17"/>
    </row>
    <row r="434" spans="5:5" ht="15.75" thickBot="1" x14ac:dyDescent="0.3">
      <c r="E434" s="17"/>
    </row>
    <row r="435" spans="5:5" ht="15.75" thickBot="1" x14ac:dyDescent="0.3">
      <c r="E435" s="17"/>
    </row>
    <row r="436" spans="5:5" ht="15.75" thickBot="1" x14ac:dyDescent="0.3">
      <c r="E436" s="17"/>
    </row>
    <row r="437" spans="5:5" ht="15.75" thickBot="1" x14ac:dyDescent="0.3">
      <c r="E437" s="17"/>
    </row>
    <row r="438" spans="5:5" ht="15.75" thickBot="1" x14ac:dyDescent="0.3">
      <c r="E438" s="17"/>
    </row>
    <row r="439" spans="5:5" ht="15.75" thickBot="1" x14ac:dyDescent="0.3">
      <c r="E439" s="17"/>
    </row>
    <row r="440" spans="5:5" ht="15.75" thickBot="1" x14ac:dyDescent="0.3">
      <c r="E440" s="17"/>
    </row>
    <row r="441" spans="5:5" ht="15.75" thickBot="1" x14ac:dyDescent="0.3">
      <c r="E441" s="17"/>
    </row>
    <row r="442" spans="5:5" ht="15.75" thickBot="1" x14ac:dyDescent="0.3">
      <c r="E442" s="17"/>
    </row>
    <row r="443" spans="5:5" ht="15.75" thickBot="1" x14ac:dyDescent="0.3">
      <c r="E443" s="17"/>
    </row>
    <row r="444" spans="5:5" ht="15.75" thickBot="1" x14ac:dyDescent="0.3">
      <c r="E444" s="17"/>
    </row>
    <row r="445" spans="5:5" ht="15.75" thickBot="1" x14ac:dyDescent="0.3">
      <c r="E445" s="17"/>
    </row>
    <row r="446" spans="5:5" ht="15.75" thickBot="1" x14ac:dyDescent="0.3">
      <c r="E446" s="17"/>
    </row>
    <row r="447" spans="5:5" ht="15.75" thickBot="1" x14ac:dyDescent="0.3">
      <c r="E447" s="17"/>
    </row>
    <row r="448" spans="5:5" ht="15.75" thickBot="1" x14ac:dyDescent="0.3">
      <c r="E448" s="17"/>
    </row>
    <row r="449" spans="5:5" ht="15.75" thickBot="1" x14ac:dyDescent="0.3">
      <c r="E449" s="17"/>
    </row>
    <row r="450" spans="5:5" ht="15.75" thickBot="1" x14ac:dyDescent="0.3">
      <c r="E450" s="17"/>
    </row>
    <row r="451" spans="5:5" ht="15.75" thickBot="1" x14ac:dyDescent="0.3">
      <c r="E451" s="17"/>
    </row>
    <row r="452" spans="5:5" ht="15.75" thickBot="1" x14ac:dyDescent="0.3">
      <c r="E452" s="17"/>
    </row>
    <row r="453" spans="5:5" ht="15.75" thickBot="1" x14ac:dyDescent="0.3">
      <c r="E453" s="17"/>
    </row>
    <row r="454" spans="5:5" ht="15.75" thickBot="1" x14ac:dyDescent="0.3">
      <c r="E454" s="17"/>
    </row>
    <row r="455" spans="5:5" ht="15.75" thickBot="1" x14ac:dyDescent="0.3">
      <c r="E455" s="17"/>
    </row>
    <row r="456" spans="5:5" ht="15.75" thickBot="1" x14ac:dyDescent="0.3">
      <c r="E456" s="17"/>
    </row>
    <row r="457" spans="5:5" ht="15.75" thickBot="1" x14ac:dyDescent="0.3">
      <c r="E457" s="17"/>
    </row>
    <row r="458" spans="5:5" ht="15.75" thickBot="1" x14ac:dyDescent="0.3">
      <c r="E458" s="17"/>
    </row>
    <row r="459" spans="5:5" ht="15.75" thickBot="1" x14ac:dyDescent="0.3">
      <c r="E459" s="17"/>
    </row>
    <row r="460" spans="5:5" ht="15.75" thickBot="1" x14ac:dyDescent="0.3">
      <c r="E460" s="17"/>
    </row>
    <row r="461" spans="5:5" ht="15.75" thickBot="1" x14ac:dyDescent="0.3">
      <c r="E461" s="17"/>
    </row>
    <row r="462" spans="5:5" ht="15.75" thickBot="1" x14ac:dyDescent="0.3">
      <c r="E462" s="17"/>
    </row>
    <row r="463" spans="5:5" ht="15.75" thickBot="1" x14ac:dyDescent="0.3">
      <c r="E463" s="17"/>
    </row>
    <row r="464" spans="5:5" ht="15.75" thickBot="1" x14ac:dyDescent="0.3">
      <c r="E464" s="17"/>
    </row>
    <row r="465" spans="5:5" ht="15.75" thickBot="1" x14ac:dyDescent="0.3">
      <c r="E465" s="17"/>
    </row>
    <row r="466" spans="5:5" ht="15.75" thickBot="1" x14ac:dyDescent="0.3">
      <c r="E466" s="17"/>
    </row>
    <row r="467" spans="5:5" ht="15.75" thickBot="1" x14ac:dyDescent="0.3">
      <c r="E467" s="17"/>
    </row>
    <row r="468" spans="5:5" ht="15.75" thickBot="1" x14ac:dyDescent="0.3">
      <c r="E468" s="17"/>
    </row>
    <row r="469" spans="5:5" ht="15.75" thickBot="1" x14ac:dyDescent="0.3">
      <c r="E469" s="17"/>
    </row>
    <row r="470" spans="5:5" ht="15.75" thickBot="1" x14ac:dyDescent="0.3">
      <c r="E470" s="17"/>
    </row>
    <row r="471" spans="5:5" ht="15.75" thickBot="1" x14ac:dyDescent="0.3">
      <c r="E471" s="17"/>
    </row>
    <row r="472" spans="5:5" ht="15.75" thickBot="1" x14ac:dyDescent="0.3">
      <c r="E472" s="17"/>
    </row>
    <row r="473" spans="5:5" ht="15.75" thickBot="1" x14ac:dyDescent="0.3">
      <c r="E473" s="17"/>
    </row>
    <row r="474" spans="5:5" ht="15.75" thickBot="1" x14ac:dyDescent="0.3">
      <c r="E474" s="17"/>
    </row>
    <row r="475" spans="5:5" ht="15.75" thickBot="1" x14ac:dyDescent="0.3">
      <c r="E475" s="17"/>
    </row>
    <row r="476" spans="5:5" ht="15.75" thickBot="1" x14ac:dyDescent="0.3">
      <c r="E476" s="17"/>
    </row>
    <row r="477" spans="5:5" ht="15.75" thickBot="1" x14ac:dyDescent="0.3">
      <c r="E477" s="17"/>
    </row>
    <row r="478" spans="5:5" ht="15.75" thickBot="1" x14ac:dyDescent="0.3">
      <c r="E478" s="17"/>
    </row>
    <row r="479" spans="5:5" ht="15.75" thickBot="1" x14ac:dyDescent="0.3">
      <c r="E479" s="17"/>
    </row>
    <row r="480" spans="5:5" ht="15.75" thickBot="1" x14ac:dyDescent="0.3">
      <c r="E480" s="17"/>
    </row>
    <row r="481" spans="5:5" ht="15.75" thickBot="1" x14ac:dyDescent="0.3">
      <c r="E481" s="17"/>
    </row>
    <row r="482" spans="5:5" ht="15.75" thickBot="1" x14ac:dyDescent="0.3">
      <c r="E482" s="17"/>
    </row>
    <row r="483" spans="5:5" ht="15.75" thickBot="1" x14ac:dyDescent="0.3">
      <c r="E483" s="17"/>
    </row>
    <row r="484" spans="5:5" ht="15.75" thickBot="1" x14ac:dyDescent="0.3">
      <c r="E484" s="17"/>
    </row>
    <row r="485" spans="5:5" ht="15.75" thickBot="1" x14ac:dyDescent="0.3">
      <c r="E485" s="17"/>
    </row>
    <row r="486" spans="5:5" ht="15.75" thickBot="1" x14ac:dyDescent="0.3">
      <c r="E486" s="17"/>
    </row>
    <row r="487" spans="5:5" ht="15.75" thickBot="1" x14ac:dyDescent="0.3">
      <c r="E487" s="17"/>
    </row>
    <row r="488" spans="5:5" ht="15.75" thickBot="1" x14ac:dyDescent="0.3">
      <c r="E488" s="17"/>
    </row>
    <row r="489" spans="5:5" ht="15.75" thickBot="1" x14ac:dyDescent="0.3">
      <c r="E489" s="17"/>
    </row>
    <row r="490" spans="5:5" ht="15.75" thickBot="1" x14ac:dyDescent="0.3">
      <c r="E490" s="17"/>
    </row>
    <row r="491" spans="5:5" ht="15.75" thickBot="1" x14ac:dyDescent="0.3">
      <c r="E491" s="17"/>
    </row>
    <row r="492" spans="5:5" ht="15.75" thickBot="1" x14ac:dyDescent="0.3">
      <c r="E492" s="17"/>
    </row>
    <row r="493" spans="5:5" ht="15.75" thickBot="1" x14ac:dyDescent="0.3">
      <c r="E493" s="17"/>
    </row>
    <row r="494" spans="5:5" ht="15.75" thickBot="1" x14ac:dyDescent="0.3">
      <c r="E494" s="17"/>
    </row>
    <row r="495" spans="5:5" ht="15.75" thickBot="1" x14ac:dyDescent="0.3">
      <c r="E495" s="17"/>
    </row>
    <row r="496" spans="5:5" ht="15.75" thickBot="1" x14ac:dyDescent="0.3">
      <c r="E496" s="17"/>
    </row>
    <row r="497" spans="5:5" ht="15.75" thickBot="1" x14ac:dyDescent="0.3">
      <c r="E497" s="17"/>
    </row>
    <row r="498" spans="5:5" ht="15.75" thickBot="1" x14ac:dyDescent="0.3">
      <c r="E498" s="17"/>
    </row>
    <row r="499" spans="5:5" ht="15.75" thickBot="1" x14ac:dyDescent="0.3">
      <c r="E499" s="17"/>
    </row>
    <row r="500" spans="5:5" ht="15.75" thickBot="1" x14ac:dyDescent="0.3">
      <c r="E500" s="17"/>
    </row>
    <row r="501" spans="5:5" ht="15.75" thickBot="1" x14ac:dyDescent="0.3">
      <c r="E501" s="17"/>
    </row>
    <row r="502" spans="5:5" ht="15.75" thickBot="1" x14ac:dyDescent="0.3">
      <c r="E502" s="17"/>
    </row>
    <row r="503" spans="5:5" ht="15.75" thickBot="1" x14ac:dyDescent="0.3">
      <c r="E503" s="17"/>
    </row>
    <row r="504" spans="5:5" ht="15.75" thickBot="1" x14ac:dyDescent="0.3">
      <c r="E504" s="17"/>
    </row>
    <row r="505" spans="5:5" ht="15.75" thickBot="1" x14ac:dyDescent="0.3">
      <c r="E505" s="17"/>
    </row>
    <row r="506" spans="5:5" ht="15.75" thickBot="1" x14ac:dyDescent="0.3">
      <c r="E506" s="17"/>
    </row>
    <row r="507" spans="5:5" ht="15.75" thickBot="1" x14ac:dyDescent="0.3">
      <c r="E507" s="17"/>
    </row>
    <row r="508" spans="5:5" ht="15.75" thickBot="1" x14ac:dyDescent="0.3">
      <c r="E508" s="17"/>
    </row>
    <row r="509" spans="5:5" ht="15.75" thickBot="1" x14ac:dyDescent="0.3">
      <c r="E509" s="17"/>
    </row>
    <row r="510" spans="5:5" ht="15.75" thickBot="1" x14ac:dyDescent="0.3">
      <c r="E510" s="17"/>
    </row>
    <row r="511" spans="5:5" ht="15.75" thickBot="1" x14ac:dyDescent="0.3">
      <c r="E511" s="17"/>
    </row>
    <row r="512" spans="5:5" ht="15.75" thickBot="1" x14ac:dyDescent="0.3">
      <c r="E512" s="17"/>
    </row>
    <row r="513" spans="5:5" ht="15.75" thickBot="1" x14ac:dyDescent="0.3">
      <c r="E513" s="17"/>
    </row>
    <row r="514" spans="5:5" ht="15.75" thickBot="1" x14ac:dyDescent="0.3">
      <c r="E514" s="17"/>
    </row>
    <row r="515" spans="5:5" ht="15.75" thickBot="1" x14ac:dyDescent="0.3">
      <c r="E515" s="17"/>
    </row>
    <row r="516" spans="5:5" ht="15.75" thickBot="1" x14ac:dyDescent="0.3">
      <c r="E516" s="17"/>
    </row>
    <row r="517" spans="5:5" ht="15.75" thickBot="1" x14ac:dyDescent="0.3">
      <c r="E517" s="17"/>
    </row>
    <row r="518" spans="5:5" ht="15.75" thickBot="1" x14ac:dyDescent="0.3">
      <c r="E518" s="17"/>
    </row>
    <row r="519" spans="5:5" ht="15.75" thickBot="1" x14ac:dyDescent="0.3">
      <c r="E519" s="17"/>
    </row>
    <row r="520" spans="5:5" ht="15.75" thickBot="1" x14ac:dyDescent="0.3">
      <c r="E520" s="17"/>
    </row>
    <row r="521" spans="5:5" ht="15.75" thickBot="1" x14ac:dyDescent="0.3">
      <c r="E521" s="17"/>
    </row>
    <row r="522" spans="5:5" ht="15.75" thickBot="1" x14ac:dyDescent="0.3">
      <c r="E522" s="17"/>
    </row>
    <row r="523" spans="5:5" ht="15.75" thickBot="1" x14ac:dyDescent="0.3">
      <c r="E523" s="17"/>
    </row>
    <row r="524" spans="5:5" ht="15.75" thickBot="1" x14ac:dyDescent="0.3">
      <c r="E524" s="17"/>
    </row>
    <row r="525" spans="5:5" ht="15.75" thickBot="1" x14ac:dyDescent="0.3">
      <c r="E525" s="17"/>
    </row>
    <row r="526" spans="5:5" ht="15.75" thickBot="1" x14ac:dyDescent="0.3">
      <c r="E526" s="17"/>
    </row>
    <row r="527" spans="5:5" ht="15.75" thickBot="1" x14ac:dyDescent="0.3">
      <c r="E527" s="17"/>
    </row>
    <row r="528" spans="5:5" ht="15.75" thickBot="1" x14ac:dyDescent="0.3">
      <c r="E528" s="17"/>
    </row>
    <row r="529" spans="5:5" ht="15.75" thickBot="1" x14ac:dyDescent="0.3">
      <c r="E529" s="17"/>
    </row>
    <row r="530" spans="5:5" ht="15.75" thickBot="1" x14ac:dyDescent="0.3">
      <c r="E530" s="17"/>
    </row>
    <row r="531" spans="5:5" ht="15.75" thickBot="1" x14ac:dyDescent="0.3">
      <c r="E531" s="17"/>
    </row>
    <row r="532" spans="5:5" ht="15.75" thickBot="1" x14ac:dyDescent="0.3">
      <c r="E532" s="17"/>
    </row>
    <row r="533" spans="5:5" ht="15.75" thickBot="1" x14ac:dyDescent="0.3">
      <c r="E533" s="17"/>
    </row>
    <row r="534" spans="5:5" ht="15.75" thickBot="1" x14ac:dyDescent="0.3">
      <c r="E534" s="17"/>
    </row>
    <row r="535" spans="5:5" ht="15.75" thickBot="1" x14ac:dyDescent="0.3">
      <c r="E535" s="17"/>
    </row>
    <row r="536" spans="5:5" ht="15.75" thickBot="1" x14ac:dyDescent="0.3">
      <c r="E536" s="17"/>
    </row>
    <row r="537" spans="5:5" ht="15.75" thickBot="1" x14ac:dyDescent="0.3">
      <c r="E537" s="17"/>
    </row>
    <row r="538" spans="5:5" ht="15.75" thickBot="1" x14ac:dyDescent="0.3">
      <c r="E538" s="17"/>
    </row>
    <row r="539" spans="5:5" ht="15.75" thickBot="1" x14ac:dyDescent="0.3">
      <c r="E539" s="17"/>
    </row>
    <row r="540" spans="5:5" ht="15.75" thickBot="1" x14ac:dyDescent="0.3">
      <c r="E540" s="17"/>
    </row>
    <row r="541" spans="5:5" ht="15.75" thickBot="1" x14ac:dyDescent="0.3">
      <c r="E541" s="17"/>
    </row>
    <row r="542" spans="5:5" ht="15.75" thickBot="1" x14ac:dyDescent="0.3">
      <c r="E542" s="17"/>
    </row>
    <row r="543" spans="5:5" ht="15.75" thickBot="1" x14ac:dyDescent="0.3">
      <c r="E543" s="17"/>
    </row>
    <row r="544" spans="5:5" ht="15.75" thickBot="1" x14ac:dyDescent="0.3">
      <c r="E544" s="17"/>
    </row>
    <row r="545" spans="5:5" ht="15.75" thickBot="1" x14ac:dyDescent="0.3">
      <c r="E545" s="17"/>
    </row>
    <row r="546" spans="5:5" ht="15.75" thickBot="1" x14ac:dyDescent="0.3">
      <c r="E546" s="17"/>
    </row>
    <row r="547" spans="5:5" ht="15.75" thickBot="1" x14ac:dyDescent="0.3">
      <c r="E547" s="17"/>
    </row>
    <row r="548" spans="5:5" ht="15.75" thickBot="1" x14ac:dyDescent="0.3">
      <c r="E548" s="17"/>
    </row>
    <row r="549" spans="5:5" ht="15.75" thickBot="1" x14ac:dyDescent="0.3">
      <c r="E549" s="17"/>
    </row>
    <row r="550" spans="5:5" ht="15.75" thickBot="1" x14ac:dyDescent="0.3">
      <c r="E550" s="17"/>
    </row>
    <row r="551" spans="5:5" ht="15.75" thickBot="1" x14ac:dyDescent="0.3">
      <c r="E551" s="17"/>
    </row>
    <row r="552" spans="5:5" ht="15.75" thickBot="1" x14ac:dyDescent="0.3">
      <c r="E552" s="17"/>
    </row>
    <row r="553" spans="5:5" ht="15.75" thickBot="1" x14ac:dyDescent="0.3">
      <c r="E553" s="17"/>
    </row>
    <row r="554" spans="5:5" ht="15.75" thickBot="1" x14ac:dyDescent="0.3">
      <c r="E554" s="17"/>
    </row>
    <row r="555" spans="5:5" ht="15.75" thickBot="1" x14ac:dyDescent="0.3">
      <c r="E555" s="17"/>
    </row>
    <row r="556" spans="5:5" ht="15.75" thickBot="1" x14ac:dyDescent="0.3">
      <c r="E556" s="17"/>
    </row>
    <row r="557" spans="5:5" ht="15.75" thickBot="1" x14ac:dyDescent="0.3">
      <c r="E557" s="17"/>
    </row>
    <row r="558" spans="5:5" ht="15.75" thickBot="1" x14ac:dyDescent="0.3">
      <c r="E558" s="17"/>
    </row>
    <row r="559" spans="5:5" ht="15.75" thickBot="1" x14ac:dyDescent="0.3">
      <c r="E559" s="17"/>
    </row>
    <row r="560" spans="5:5" ht="15.75" thickBot="1" x14ac:dyDescent="0.3">
      <c r="E560" s="17"/>
    </row>
    <row r="561" spans="5:5" ht="15.75" thickBot="1" x14ac:dyDescent="0.3">
      <c r="E561" s="17"/>
    </row>
    <row r="562" spans="5:5" ht="15.75" thickBot="1" x14ac:dyDescent="0.3">
      <c r="E562" s="17"/>
    </row>
    <row r="563" spans="5:5" ht="15.75" thickBot="1" x14ac:dyDescent="0.3">
      <c r="E563" s="17"/>
    </row>
    <row r="564" spans="5:5" ht="15.75" thickBot="1" x14ac:dyDescent="0.3">
      <c r="E564" s="17"/>
    </row>
    <row r="565" spans="5:5" ht="15.75" thickBot="1" x14ac:dyDescent="0.3">
      <c r="E565" s="17"/>
    </row>
    <row r="566" spans="5:5" ht="15.75" thickBot="1" x14ac:dyDescent="0.3">
      <c r="E566" s="17"/>
    </row>
    <row r="567" spans="5:5" ht="15.75" thickBot="1" x14ac:dyDescent="0.3">
      <c r="E567" s="17"/>
    </row>
    <row r="568" spans="5:5" ht="15.75" thickBot="1" x14ac:dyDescent="0.3">
      <c r="E568" s="17"/>
    </row>
    <row r="569" spans="5:5" ht="15.75" thickBot="1" x14ac:dyDescent="0.3">
      <c r="E569" s="17"/>
    </row>
    <row r="570" spans="5:5" ht="15.75" thickBot="1" x14ac:dyDescent="0.3">
      <c r="E570" s="17"/>
    </row>
    <row r="571" spans="5:5" ht="15.75" thickBot="1" x14ac:dyDescent="0.3">
      <c r="E571" s="17"/>
    </row>
    <row r="572" spans="5:5" ht="15.75" thickBot="1" x14ac:dyDescent="0.3">
      <c r="E572" s="17"/>
    </row>
    <row r="573" spans="5:5" ht="15.75" thickBot="1" x14ac:dyDescent="0.3">
      <c r="E573" s="17"/>
    </row>
    <row r="574" spans="5:5" ht="15.75" thickBot="1" x14ac:dyDescent="0.3">
      <c r="E574" s="17"/>
    </row>
    <row r="575" spans="5:5" ht="15.75" thickBot="1" x14ac:dyDescent="0.3">
      <c r="E575" s="17"/>
    </row>
    <row r="576" spans="5:5" ht="15.75" thickBot="1" x14ac:dyDescent="0.3">
      <c r="E576" s="17"/>
    </row>
    <row r="577" spans="5:5" ht="15.75" thickBot="1" x14ac:dyDescent="0.3">
      <c r="E577" s="17"/>
    </row>
    <row r="578" spans="5:5" ht="15.75" thickBot="1" x14ac:dyDescent="0.3">
      <c r="E578" s="17"/>
    </row>
    <row r="579" spans="5:5" ht="15.75" thickBot="1" x14ac:dyDescent="0.3">
      <c r="E579" s="17"/>
    </row>
    <row r="580" spans="5:5" ht="15.75" thickBot="1" x14ac:dyDescent="0.3">
      <c r="E580" s="17"/>
    </row>
    <row r="581" spans="5:5" ht="15.75" thickBot="1" x14ac:dyDescent="0.3">
      <c r="E581" s="17"/>
    </row>
    <row r="582" spans="5:5" ht="15.75" thickBot="1" x14ac:dyDescent="0.3">
      <c r="E582" s="17"/>
    </row>
    <row r="583" spans="5:5" ht="15.75" thickBot="1" x14ac:dyDescent="0.3">
      <c r="E583" s="17"/>
    </row>
    <row r="584" spans="5:5" ht="15.75" thickBot="1" x14ac:dyDescent="0.3">
      <c r="E584" s="17"/>
    </row>
    <row r="585" spans="5:5" ht="15.75" thickBot="1" x14ac:dyDescent="0.3">
      <c r="E585" s="17"/>
    </row>
    <row r="586" spans="5:5" ht="15.75" thickBot="1" x14ac:dyDescent="0.3">
      <c r="E586" s="17"/>
    </row>
    <row r="587" spans="5:5" ht="15.75" thickBot="1" x14ac:dyDescent="0.3">
      <c r="E587" s="17"/>
    </row>
    <row r="588" spans="5:5" ht="15.75" thickBot="1" x14ac:dyDescent="0.3">
      <c r="E588" s="17"/>
    </row>
    <row r="589" spans="5:5" ht="15.75" thickBot="1" x14ac:dyDescent="0.3">
      <c r="E589" s="17"/>
    </row>
    <row r="590" spans="5:5" ht="15.75" thickBot="1" x14ac:dyDescent="0.3">
      <c r="E590" s="17"/>
    </row>
    <row r="591" spans="5:5" ht="15.75" thickBot="1" x14ac:dyDescent="0.3">
      <c r="E591" s="17"/>
    </row>
    <row r="592" spans="5:5" ht="15.75" thickBot="1" x14ac:dyDescent="0.3">
      <c r="E592" s="17"/>
    </row>
    <row r="593" spans="5:5" ht="15.75" thickBot="1" x14ac:dyDescent="0.3">
      <c r="E593" s="17"/>
    </row>
    <row r="594" spans="5:5" ht="15.75" thickBot="1" x14ac:dyDescent="0.3">
      <c r="E594" s="17"/>
    </row>
    <row r="595" spans="5:5" ht="15.75" thickBot="1" x14ac:dyDescent="0.3">
      <c r="E595" s="17"/>
    </row>
    <row r="596" spans="5:5" ht="15.75" thickBot="1" x14ac:dyDescent="0.3">
      <c r="E596" s="17"/>
    </row>
    <row r="597" spans="5:5" ht="15.75" thickBot="1" x14ac:dyDescent="0.3">
      <c r="E597" s="17"/>
    </row>
    <row r="598" spans="5:5" ht="15.75" thickBot="1" x14ac:dyDescent="0.3">
      <c r="E598" s="17"/>
    </row>
    <row r="599" spans="5:5" ht="15.75" thickBot="1" x14ac:dyDescent="0.3">
      <c r="E599" s="17"/>
    </row>
    <row r="600" spans="5:5" ht="15.75" thickBot="1" x14ac:dyDescent="0.3">
      <c r="E600" s="17"/>
    </row>
    <row r="601" spans="5:5" ht="15.75" thickBot="1" x14ac:dyDescent="0.3">
      <c r="E601" s="17"/>
    </row>
    <row r="602" spans="5:5" ht="15.75" thickBot="1" x14ac:dyDescent="0.3">
      <c r="E602" s="17"/>
    </row>
    <row r="603" spans="5:5" ht="15.75" thickBot="1" x14ac:dyDescent="0.3">
      <c r="E603" s="17"/>
    </row>
    <row r="604" spans="5:5" ht="15.75" thickBot="1" x14ac:dyDescent="0.3">
      <c r="E604" s="17"/>
    </row>
    <row r="605" spans="5:5" ht="15.75" thickBot="1" x14ac:dyDescent="0.3">
      <c r="E605" s="17"/>
    </row>
    <row r="606" spans="5:5" ht="15.75" thickBot="1" x14ac:dyDescent="0.3">
      <c r="E606" s="17"/>
    </row>
    <row r="607" spans="5:5" ht="15.75" thickBot="1" x14ac:dyDescent="0.3">
      <c r="E607" s="17"/>
    </row>
    <row r="608" spans="5:5" ht="15.75" thickBot="1" x14ac:dyDescent="0.3">
      <c r="E608" s="17"/>
    </row>
    <row r="609" spans="5:5" ht="15.75" thickBot="1" x14ac:dyDescent="0.3">
      <c r="E609" s="17"/>
    </row>
    <row r="610" spans="5:5" ht="15.75" thickBot="1" x14ac:dyDescent="0.3">
      <c r="E610" s="17"/>
    </row>
    <row r="611" spans="5:5" ht="15.75" thickBot="1" x14ac:dyDescent="0.3">
      <c r="E611" s="17"/>
    </row>
    <row r="612" spans="5:5" ht="15.75" thickBot="1" x14ac:dyDescent="0.3">
      <c r="E612" s="17"/>
    </row>
    <row r="613" spans="5:5" ht="15.75" thickBot="1" x14ac:dyDescent="0.3">
      <c r="E613" s="17"/>
    </row>
    <row r="614" spans="5:5" ht="15.75" thickBot="1" x14ac:dyDescent="0.3">
      <c r="E614" s="17"/>
    </row>
    <row r="615" spans="5:5" ht="15.75" thickBot="1" x14ac:dyDescent="0.3">
      <c r="E615" s="17"/>
    </row>
    <row r="616" spans="5:5" ht="15.75" thickBot="1" x14ac:dyDescent="0.3">
      <c r="E616" s="17"/>
    </row>
    <row r="617" spans="5:5" ht="15.75" thickBot="1" x14ac:dyDescent="0.3">
      <c r="E617" s="17"/>
    </row>
    <row r="618" spans="5:5" ht="15.75" thickBot="1" x14ac:dyDescent="0.3">
      <c r="E618" s="17"/>
    </row>
    <row r="619" spans="5:5" ht="15.75" thickBot="1" x14ac:dyDescent="0.3">
      <c r="E619" s="17"/>
    </row>
    <row r="620" spans="5:5" ht="15.75" thickBot="1" x14ac:dyDescent="0.3">
      <c r="E620" s="17"/>
    </row>
    <row r="621" spans="5:5" ht="15.75" thickBot="1" x14ac:dyDescent="0.3">
      <c r="E621" s="17"/>
    </row>
    <row r="622" spans="5:5" ht="15.75" thickBot="1" x14ac:dyDescent="0.3">
      <c r="E622" s="17"/>
    </row>
    <row r="623" spans="5:5" ht="15.75" thickBot="1" x14ac:dyDescent="0.3">
      <c r="E623" s="17"/>
    </row>
    <row r="624" spans="5:5" ht="15.75" thickBot="1" x14ac:dyDescent="0.3">
      <c r="E624" s="17"/>
    </row>
    <row r="625" spans="5:5" ht="15.75" thickBot="1" x14ac:dyDescent="0.3">
      <c r="E625" s="17"/>
    </row>
    <row r="626" spans="5:5" ht="15.75" thickBot="1" x14ac:dyDescent="0.3">
      <c r="E626" s="17"/>
    </row>
    <row r="627" spans="5:5" ht="15.75" thickBot="1" x14ac:dyDescent="0.3">
      <c r="E627" s="17"/>
    </row>
    <row r="628" spans="5:5" ht="15.75" thickBot="1" x14ac:dyDescent="0.3">
      <c r="E628" s="17"/>
    </row>
    <row r="629" spans="5:5" ht="15.75" thickBot="1" x14ac:dyDescent="0.3">
      <c r="E629" s="17"/>
    </row>
    <row r="630" spans="5:5" ht="15.75" thickBot="1" x14ac:dyDescent="0.3">
      <c r="E630" s="17"/>
    </row>
    <row r="631" spans="5:5" ht="15.75" thickBot="1" x14ac:dyDescent="0.3">
      <c r="E631" s="17"/>
    </row>
    <row r="632" spans="5:5" ht="15.75" thickBot="1" x14ac:dyDescent="0.3">
      <c r="E632" s="17"/>
    </row>
    <row r="633" spans="5:5" ht="15.75" thickBot="1" x14ac:dyDescent="0.3">
      <c r="E633" s="17"/>
    </row>
    <row r="634" spans="5:5" ht="15.75" thickBot="1" x14ac:dyDescent="0.3">
      <c r="E634" s="17"/>
    </row>
    <row r="635" spans="5:5" ht="15.75" thickBot="1" x14ac:dyDescent="0.3">
      <c r="E635" s="17"/>
    </row>
    <row r="636" spans="5:5" ht="15.75" thickBot="1" x14ac:dyDescent="0.3">
      <c r="E636" s="17"/>
    </row>
    <row r="637" spans="5:5" ht="15.75" thickBot="1" x14ac:dyDescent="0.3">
      <c r="E637" s="17"/>
    </row>
    <row r="638" spans="5:5" ht="15.75" thickBot="1" x14ac:dyDescent="0.3">
      <c r="E638" s="17"/>
    </row>
    <row r="639" spans="5:5" ht="15.75" thickBot="1" x14ac:dyDescent="0.3">
      <c r="E639" s="17"/>
    </row>
    <row r="640" spans="5:5" ht="15.75" thickBot="1" x14ac:dyDescent="0.3">
      <c r="E640" s="17"/>
    </row>
    <row r="641" spans="5:5" ht="15.75" thickBot="1" x14ac:dyDescent="0.3">
      <c r="E641" s="17"/>
    </row>
    <row r="642" spans="5:5" ht="15.75" thickBot="1" x14ac:dyDescent="0.3">
      <c r="E642" s="17"/>
    </row>
    <row r="643" spans="5:5" ht="15.75" thickBot="1" x14ac:dyDescent="0.3">
      <c r="E643" s="17"/>
    </row>
    <row r="644" spans="5:5" ht="15.75" thickBot="1" x14ac:dyDescent="0.3">
      <c r="E644" s="17"/>
    </row>
    <row r="645" spans="5:5" ht="15.75" thickBot="1" x14ac:dyDescent="0.3">
      <c r="E645" s="17"/>
    </row>
    <row r="646" spans="5:5" ht="15.75" thickBot="1" x14ac:dyDescent="0.3">
      <c r="E646" s="17"/>
    </row>
    <row r="647" spans="5:5" ht="15.75" thickBot="1" x14ac:dyDescent="0.3">
      <c r="E647" s="17"/>
    </row>
    <row r="648" spans="5:5" ht="15.75" thickBot="1" x14ac:dyDescent="0.3">
      <c r="E648" s="17"/>
    </row>
    <row r="649" spans="5:5" ht="15.75" thickBot="1" x14ac:dyDescent="0.3">
      <c r="E649" s="17"/>
    </row>
    <row r="650" spans="5:5" ht="15.75" thickBot="1" x14ac:dyDescent="0.3">
      <c r="E650" s="17"/>
    </row>
    <row r="651" spans="5:5" ht="15.75" thickBot="1" x14ac:dyDescent="0.3">
      <c r="E651" s="17"/>
    </row>
    <row r="652" spans="5:5" ht="15.75" thickBot="1" x14ac:dyDescent="0.3">
      <c r="E652" s="17"/>
    </row>
    <row r="653" spans="5:5" ht="15.75" thickBot="1" x14ac:dyDescent="0.3">
      <c r="E653" s="17"/>
    </row>
    <row r="654" spans="5:5" ht="15.75" thickBot="1" x14ac:dyDescent="0.3">
      <c r="E654" s="17"/>
    </row>
    <row r="655" spans="5:5" ht="15.75" thickBot="1" x14ac:dyDescent="0.3">
      <c r="E655" s="17"/>
    </row>
    <row r="656" spans="5:5" ht="15.75" thickBot="1" x14ac:dyDescent="0.3">
      <c r="E656" s="17"/>
    </row>
    <row r="657" spans="5:5" ht="15.75" thickBot="1" x14ac:dyDescent="0.3">
      <c r="E657" s="17"/>
    </row>
    <row r="658" spans="5:5" ht="15.75" thickBot="1" x14ac:dyDescent="0.3">
      <c r="E658" s="17"/>
    </row>
    <row r="659" spans="5:5" ht="15.75" thickBot="1" x14ac:dyDescent="0.3">
      <c r="E659" s="17"/>
    </row>
    <row r="660" spans="5:5" ht="15.75" thickBot="1" x14ac:dyDescent="0.3">
      <c r="E660" s="17"/>
    </row>
    <row r="661" spans="5:5" ht="15.75" thickBot="1" x14ac:dyDescent="0.3">
      <c r="E661" s="17"/>
    </row>
    <row r="662" spans="5:5" ht="15.75" thickBot="1" x14ac:dyDescent="0.3">
      <c r="E662" s="17"/>
    </row>
    <row r="663" spans="5:5" ht="15.75" thickBot="1" x14ac:dyDescent="0.3">
      <c r="E663" s="17"/>
    </row>
    <row r="664" spans="5:5" ht="15.75" thickBot="1" x14ac:dyDescent="0.3">
      <c r="E664" s="17"/>
    </row>
    <row r="665" spans="5:5" ht="15.75" thickBot="1" x14ac:dyDescent="0.3">
      <c r="E665" s="17"/>
    </row>
    <row r="666" spans="5:5" ht="15.75" thickBot="1" x14ac:dyDescent="0.3">
      <c r="E666" s="17"/>
    </row>
    <row r="667" spans="5:5" ht="15.75" thickBot="1" x14ac:dyDescent="0.3">
      <c r="E667" s="17"/>
    </row>
    <row r="668" spans="5:5" ht="15.75" thickBot="1" x14ac:dyDescent="0.3">
      <c r="E668" s="17"/>
    </row>
    <row r="669" spans="5:5" ht="15.75" thickBot="1" x14ac:dyDescent="0.3">
      <c r="E669" s="17"/>
    </row>
    <row r="670" spans="5:5" ht="15.75" thickBot="1" x14ac:dyDescent="0.3">
      <c r="E670" s="17"/>
    </row>
    <row r="671" spans="5:5" ht="15.75" thickBot="1" x14ac:dyDescent="0.3">
      <c r="E671" s="17"/>
    </row>
    <row r="672" spans="5:5" ht="15.75" thickBot="1" x14ac:dyDescent="0.3">
      <c r="E672" s="17"/>
    </row>
    <row r="673" spans="5:5" ht="15.75" thickBot="1" x14ac:dyDescent="0.3">
      <c r="E673" s="17"/>
    </row>
    <row r="674" spans="5:5" ht="15.75" thickBot="1" x14ac:dyDescent="0.3">
      <c r="E674" s="17"/>
    </row>
    <row r="675" spans="5:5" ht="15.75" thickBot="1" x14ac:dyDescent="0.3">
      <c r="E675" s="17"/>
    </row>
    <row r="676" spans="5:5" ht="15.75" thickBot="1" x14ac:dyDescent="0.3">
      <c r="E676" s="17"/>
    </row>
    <row r="677" spans="5:5" ht="15.75" thickBot="1" x14ac:dyDescent="0.3">
      <c r="E677" s="17"/>
    </row>
    <row r="678" spans="5:5" ht="15.75" thickBot="1" x14ac:dyDescent="0.3">
      <c r="E678" s="17"/>
    </row>
    <row r="679" spans="5:5" ht="15.75" thickBot="1" x14ac:dyDescent="0.3">
      <c r="E679" s="17"/>
    </row>
    <row r="680" spans="5:5" ht="15.75" thickBot="1" x14ac:dyDescent="0.3">
      <c r="E680" s="17"/>
    </row>
    <row r="681" spans="5:5" ht="15.75" thickBot="1" x14ac:dyDescent="0.3">
      <c r="E681" s="17"/>
    </row>
    <row r="682" spans="5:5" ht="15.75" thickBot="1" x14ac:dyDescent="0.3">
      <c r="E682" s="17"/>
    </row>
    <row r="683" spans="5:5" ht="15.75" thickBot="1" x14ac:dyDescent="0.3">
      <c r="E683" s="17"/>
    </row>
    <row r="684" spans="5:5" ht="15.75" thickBot="1" x14ac:dyDescent="0.3">
      <c r="E684" s="17"/>
    </row>
    <row r="685" spans="5:5" ht="15.75" thickBot="1" x14ac:dyDescent="0.3">
      <c r="E685" s="17"/>
    </row>
    <row r="686" spans="5:5" ht="15.75" thickBot="1" x14ac:dyDescent="0.3">
      <c r="E686" s="17"/>
    </row>
    <row r="687" spans="5:5" ht="15.75" thickBot="1" x14ac:dyDescent="0.3">
      <c r="E687" s="17"/>
    </row>
    <row r="688" spans="5:5" ht="15.75" thickBot="1" x14ac:dyDescent="0.3">
      <c r="E688" s="17"/>
    </row>
    <row r="689" spans="5:5" ht="15.75" thickBot="1" x14ac:dyDescent="0.3">
      <c r="E689" s="17"/>
    </row>
    <row r="690" spans="5:5" ht="15.75" thickBot="1" x14ac:dyDescent="0.3">
      <c r="E690" s="17"/>
    </row>
    <row r="691" spans="5:5" ht="15.75" thickBot="1" x14ac:dyDescent="0.3">
      <c r="E691" s="17"/>
    </row>
    <row r="692" spans="5:5" ht="15.75" thickBot="1" x14ac:dyDescent="0.3">
      <c r="E692" s="17"/>
    </row>
    <row r="693" spans="5:5" ht="15.75" thickBot="1" x14ac:dyDescent="0.3">
      <c r="E693" s="17"/>
    </row>
    <row r="694" spans="5:5" ht="15.75" thickBot="1" x14ac:dyDescent="0.3">
      <c r="E694" s="17"/>
    </row>
    <row r="695" spans="5:5" ht="15.75" thickBot="1" x14ac:dyDescent="0.3">
      <c r="E695" s="17"/>
    </row>
    <row r="696" spans="5:5" ht="15.75" thickBot="1" x14ac:dyDescent="0.3">
      <c r="E696" s="17"/>
    </row>
    <row r="697" spans="5:5" ht="15.75" thickBot="1" x14ac:dyDescent="0.3">
      <c r="E697" s="17"/>
    </row>
    <row r="698" spans="5:5" ht="15.75" thickBot="1" x14ac:dyDescent="0.3">
      <c r="E698" s="17"/>
    </row>
    <row r="699" spans="5:5" ht="15.75" thickBot="1" x14ac:dyDescent="0.3">
      <c r="E699" s="17"/>
    </row>
    <row r="700" spans="5:5" ht="15.75" thickBot="1" x14ac:dyDescent="0.3">
      <c r="E700" s="17"/>
    </row>
    <row r="701" spans="5:5" ht="15.75" thickBot="1" x14ac:dyDescent="0.3">
      <c r="E701" s="17"/>
    </row>
    <row r="702" spans="5:5" ht="15.75" thickBot="1" x14ac:dyDescent="0.3">
      <c r="E702" s="17"/>
    </row>
    <row r="703" spans="5:5" ht="15.75" thickBot="1" x14ac:dyDescent="0.3">
      <c r="E703" s="17"/>
    </row>
    <row r="704" spans="5:5" ht="15.75" thickBot="1" x14ac:dyDescent="0.3">
      <c r="E704" s="17"/>
    </row>
    <row r="705" spans="5:5" ht="15.75" thickBot="1" x14ac:dyDescent="0.3">
      <c r="E705" s="17"/>
    </row>
    <row r="706" spans="5:5" ht="15.75" thickBot="1" x14ac:dyDescent="0.3">
      <c r="E706" s="17"/>
    </row>
    <row r="707" spans="5:5" ht="15.75" thickBot="1" x14ac:dyDescent="0.3">
      <c r="E707" s="17"/>
    </row>
    <row r="708" spans="5:5" ht="15.75" thickBot="1" x14ac:dyDescent="0.3">
      <c r="E708" s="17"/>
    </row>
    <row r="709" spans="5:5" ht="15.75" thickBot="1" x14ac:dyDescent="0.3">
      <c r="E709" s="17"/>
    </row>
    <row r="710" spans="5:5" ht="15.75" thickBot="1" x14ac:dyDescent="0.3">
      <c r="E710" s="17"/>
    </row>
    <row r="711" spans="5:5" ht="15.75" thickBot="1" x14ac:dyDescent="0.3">
      <c r="E711" s="17"/>
    </row>
    <row r="712" spans="5:5" ht="15.75" thickBot="1" x14ac:dyDescent="0.3">
      <c r="E712" s="17"/>
    </row>
    <row r="713" spans="5:5" ht="15.75" thickBot="1" x14ac:dyDescent="0.3">
      <c r="E713" s="17"/>
    </row>
    <row r="714" spans="5:5" ht="15.75" thickBot="1" x14ac:dyDescent="0.3">
      <c r="E714" s="17"/>
    </row>
    <row r="715" spans="5:5" ht="15.75" thickBot="1" x14ac:dyDescent="0.3">
      <c r="E715" s="17"/>
    </row>
    <row r="716" spans="5:5" ht="15.75" thickBot="1" x14ac:dyDescent="0.3">
      <c r="E716" s="17"/>
    </row>
    <row r="717" spans="5:5" ht="15.75" thickBot="1" x14ac:dyDescent="0.3">
      <c r="E717" s="17"/>
    </row>
    <row r="718" spans="5:5" ht="15.75" thickBot="1" x14ac:dyDescent="0.3">
      <c r="E718" s="17"/>
    </row>
    <row r="719" spans="5:5" ht="15.75" thickBot="1" x14ac:dyDescent="0.3">
      <c r="E719" s="17"/>
    </row>
    <row r="720" spans="5:5" ht="15.75" thickBot="1" x14ac:dyDescent="0.3">
      <c r="E720" s="17"/>
    </row>
    <row r="721" spans="5:5" ht="15.75" thickBot="1" x14ac:dyDescent="0.3">
      <c r="E721" s="17"/>
    </row>
    <row r="722" spans="5:5" ht="15.75" thickBot="1" x14ac:dyDescent="0.3">
      <c r="E722" s="17"/>
    </row>
    <row r="723" spans="5:5" ht="15.75" thickBot="1" x14ac:dyDescent="0.3">
      <c r="E723" s="17"/>
    </row>
    <row r="724" spans="5:5" ht="15.75" thickBot="1" x14ac:dyDescent="0.3">
      <c r="E724" s="17"/>
    </row>
    <row r="725" spans="5:5" ht="15.75" thickBot="1" x14ac:dyDescent="0.3">
      <c r="E725" s="17"/>
    </row>
    <row r="726" spans="5:5" ht="15.75" thickBot="1" x14ac:dyDescent="0.3">
      <c r="E726" s="17"/>
    </row>
    <row r="727" spans="5:5" ht="15.75" thickBot="1" x14ac:dyDescent="0.3">
      <c r="E727" s="17"/>
    </row>
    <row r="728" spans="5:5" ht="15.75" thickBot="1" x14ac:dyDescent="0.3">
      <c r="E728" s="17"/>
    </row>
    <row r="729" spans="5:5" ht="15.75" thickBot="1" x14ac:dyDescent="0.3">
      <c r="E729" s="17"/>
    </row>
    <row r="730" spans="5:5" ht="15.75" thickBot="1" x14ac:dyDescent="0.3">
      <c r="E730" s="17"/>
    </row>
    <row r="731" spans="5:5" ht="15.75" thickBot="1" x14ac:dyDescent="0.3">
      <c r="E731" s="17"/>
    </row>
    <row r="732" spans="5:5" ht="15.75" thickBot="1" x14ac:dyDescent="0.3">
      <c r="E732" s="17"/>
    </row>
    <row r="733" spans="5:5" ht="15.75" thickBot="1" x14ac:dyDescent="0.3">
      <c r="E733" s="17"/>
    </row>
    <row r="734" spans="5:5" ht="15.75" thickBot="1" x14ac:dyDescent="0.3">
      <c r="E734" s="17"/>
    </row>
    <row r="735" spans="5:5" ht="15.75" thickBot="1" x14ac:dyDescent="0.3">
      <c r="E735" s="17"/>
    </row>
    <row r="736" spans="5:5" ht="15.75" thickBot="1" x14ac:dyDescent="0.3">
      <c r="E736" s="17"/>
    </row>
    <row r="737" spans="5:5" ht="15.75" thickBot="1" x14ac:dyDescent="0.3">
      <c r="E737" s="17"/>
    </row>
    <row r="738" spans="5:5" ht="15.75" thickBot="1" x14ac:dyDescent="0.3">
      <c r="E738" s="17"/>
    </row>
    <row r="739" spans="5:5" ht="15.75" thickBot="1" x14ac:dyDescent="0.3">
      <c r="E739" s="17"/>
    </row>
    <row r="740" spans="5:5" ht="15.75" thickBot="1" x14ac:dyDescent="0.3">
      <c r="E740" s="17"/>
    </row>
    <row r="741" spans="5:5" ht="15.75" thickBot="1" x14ac:dyDescent="0.3">
      <c r="E741" s="17"/>
    </row>
    <row r="742" spans="5:5" ht="15.75" thickBot="1" x14ac:dyDescent="0.3">
      <c r="E742" s="17"/>
    </row>
    <row r="743" spans="5:5" ht="15.75" thickBot="1" x14ac:dyDescent="0.3">
      <c r="E743" s="17"/>
    </row>
    <row r="744" spans="5:5" ht="15.75" thickBot="1" x14ac:dyDescent="0.3">
      <c r="E744" s="17"/>
    </row>
    <row r="745" spans="5:5" ht="15.75" thickBot="1" x14ac:dyDescent="0.3">
      <c r="E745" s="17"/>
    </row>
    <row r="746" spans="5:5" ht="15.75" thickBot="1" x14ac:dyDescent="0.3">
      <c r="E746" s="17"/>
    </row>
    <row r="747" spans="5:5" ht="15.75" thickBot="1" x14ac:dyDescent="0.3">
      <c r="E747" s="17"/>
    </row>
    <row r="748" spans="5:5" ht="15.75" thickBot="1" x14ac:dyDescent="0.3">
      <c r="E748" s="17"/>
    </row>
    <row r="749" spans="5:5" ht="15.75" thickBot="1" x14ac:dyDescent="0.3">
      <c r="E749" s="17"/>
    </row>
    <row r="750" spans="5:5" ht="15.75" thickBot="1" x14ac:dyDescent="0.3">
      <c r="E750" s="17"/>
    </row>
    <row r="751" spans="5:5" ht="15.75" thickBot="1" x14ac:dyDescent="0.3">
      <c r="E751" s="17"/>
    </row>
    <row r="752" spans="5:5" ht="15.75" thickBot="1" x14ac:dyDescent="0.3">
      <c r="E752" s="17"/>
    </row>
    <row r="753" spans="5:5" ht="15.75" thickBot="1" x14ac:dyDescent="0.3">
      <c r="E753" s="17"/>
    </row>
    <row r="754" spans="5:5" ht="15.75" thickBot="1" x14ac:dyDescent="0.3">
      <c r="E754" s="17"/>
    </row>
    <row r="755" spans="5:5" ht="15.75" thickBot="1" x14ac:dyDescent="0.3">
      <c r="E755" s="17"/>
    </row>
    <row r="756" spans="5:5" ht="15.75" thickBot="1" x14ac:dyDescent="0.3">
      <c r="E756" s="17"/>
    </row>
    <row r="757" spans="5:5" ht="15.75" thickBot="1" x14ac:dyDescent="0.3">
      <c r="E757" s="17"/>
    </row>
    <row r="758" spans="5:5" ht="15.75" thickBot="1" x14ac:dyDescent="0.3">
      <c r="E758" s="17"/>
    </row>
    <row r="759" spans="5:5" ht="15.75" thickBot="1" x14ac:dyDescent="0.3">
      <c r="E759" s="17"/>
    </row>
    <row r="760" spans="5:5" ht="15.75" thickBot="1" x14ac:dyDescent="0.3">
      <c r="E760" s="17"/>
    </row>
    <row r="761" spans="5:5" ht="15.75" thickBot="1" x14ac:dyDescent="0.3">
      <c r="E761" s="17"/>
    </row>
    <row r="762" spans="5:5" ht="15.75" thickBot="1" x14ac:dyDescent="0.3">
      <c r="E762" s="17"/>
    </row>
    <row r="763" spans="5:5" ht="15.75" thickBot="1" x14ac:dyDescent="0.3">
      <c r="E763" s="17"/>
    </row>
    <row r="764" spans="5:5" ht="15.75" thickBot="1" x14ac:dyDescent="0.3">
      <c r="E764" s="17"/>
    </row>
    <row r="765" spans="5:5" ht="15.75" thickBot="1" x14ac:dyDescent="0.3">
      <c r="E765" s="17"/>
    </row>
    <row r="766" spans="5:5" ht="15.75" thickBot="1" x14ac:dyDescent="0.3">
      <c r="E766" s="17"/>
    </row>
    <row r="767" spans="5:5" ht="15.75" thickBot="1" x14ac:dyDescent="0.3">
      <c r="E767" s="17"/>
    </row>
    <row r="768" spans="5:5" ht="15.75" thickBot="1" x14ac:dyDescent="0.3">
      <c r="E768" s="17"/>
    </row>
    <row r="769" spans="5:5" ht="15.75" thickBot="1" x14ac:dyDescent="0.3">
      <c r="E769" s="17"/>
    </row>
    <row r="770" spans="5:5" ht="15.75" thickBot="1" x14ac:dyDescent="0.3">
      <c r="E770" s="17"/>
    </row>
    <row r="771" spans="5:5" ht="15.75" thickBot="1" x14ac:dyDescent="0.3">
      <c r="E771" s="17"/>
    </row>
    <row r="772" spans="5:5" ht="15.75" thickBot="1" x14ac:dyDescent="0.3">
      <c r="E772" s="17"/>
    </row>
    <row r="773" spans="5:5" ht="15.75" thickBot="1" x14ac:dyDescent="0.3">
      <c r="E773" s="17"/>
    </row>
    <row r="774" spans="5:5" ht="15.75" thickBot="1" x14ac:dyDescent="0.3">
      <c r="E774" s="17"/>
    </row>
    <row r="775" spans="5:5" ht="15.75" thickBot="1" x14ac:dyDescent="0.3">
      <c r="E775" s="17"/>
    </row>
    <row r="776" spans="5:5" ht="15.75" thickBot="1" x14ac:dyDescent="0.3">
      <c r="E776" s="17"/>
    </row>
    <row r="777" spans="5:5" ht="15.75" thickBot="1" x14ac:dyDescent="0.3">
      <c r="E777" s="17"/>
    </row>
    <row r="778" spans="5:5" ht="15.75" thickBot="1" x14ac:dyDescent="0.3">
      <c r="E778" s="17"/>
    </row>
    <row r="779" spans="5:5" ht="15.75" thickBot="1" x14ac:dyDescent="0.3">
      <c r="E779" s="17"/>
    </row>
    <row r="780" spans="5:5" ht="15.75" thickBot="1" x14ac:dyDescent="0.3">
      <c r="E780" s="17"/>
    </row>
    <row r="781" spans="5:5" ht="15.75" thickBot="1" x14ac:dyDescent="0.3">
      <c r="E781" s="17"/>
    </row>
    <row r="782" spans="5:5" ht="15.75" thickBot="1" x14ac:dyDescent="0.3">
      <c r="E782" s="17"/>
    </row>
    <row r="783" spans="5:5" ht="15.75" thickBot="1" x14ac:dyDescent="0.3">
      <c r="E783" s="17"/>
    </row>
    <row r="784" spans="5:5" ht="15.75" thickBot="1" x14ac:dyDescent="0.3">
      <c r="E784" s="17"/>
    </row>
    <row r="785" spans="5:5" ht="15.75" thickBot="1" x14ac:dyDescent="0.3">
      <c r="E785" s="17"/>
    </row>
    <row r="786" spans="5:5" ht="15.75" thickBot="1" x14ac:dyDescent="0.3">
      <c r="E786" s="17"/>
    </row>
    <row r="787" spans="5:5" ht="15.75" thickBot="1" x14ac:dyDescent="0.3">
      <c r="E787" s="17"/>
    </row>
    <row r="788" spans="5:5" ht="15.75" thickBot="1" x14ac:dyDescent="0.3">
      <c r="E788" s="17"/>
    </row>
    <row r="789" spans="5:5" ht="15.75" thickBot="1" x14ac:dyDescent="0.3">
      <c r="E789" s="17"/>
    </row>
    <row r="790" spans="5:5" ht="15.75" thickBot="1" x14ac:dyDescent="0.3">
      <c r="E790" s="17"/>
    </row>
    <row r="791" spans="5:5" ht="15.75" thickBot="1" x14ac:dyDescent="0.3">
      <c r="E791" s="17"/>
    </row>
    <row r="792" spans="5:5" ht="15.75" thickBot="1" x14ac:dyDescent="0.3">
      <c r="E792" s="17"/>
    </row>
    <row r="793" spans="5:5" ht="15.75" thickBot="1" x14ac:dyDescent="0.3">
      <c r="E793" s="17"/>
    </row>
    <row r="794" spans="5:5" ht="15.75" thickBot="1" x14ac:dyDescent="0.3">
      <c r="E794" s="17"/>
    </row>
    <row r="795" spans="5:5" ht="15.75" thickBot="1" x14ac:dyDescent="0.3">
      <c r="E795" s="17"/>
    </row>
    <row r="796" spans="5:5" ht="15.75" thickBot="1" x14ac:dyDescent="0.3">
      <c r="E796" s="17"/>
    </row>
    <row r="797" spans="5:5" ht="15.75" thickBot="1" x14ac:dyDescent="0.3">
      <c r="E797" s="17"/>
    </row>
    <row r="798" spans="5:5" ht="15.75" thickBot="1" x14ac:dyDescent="0.3">
      <c r="E798" s="17"/>
    </row>
    <row r="799" spans="5:5" ht="15.75" thickBot="1" x14ac:dyDescent="0.3">
      <c r="E799" s="17"/>
    </row>
    <row r="800" spans="5:5" ht="15.75" thickBot="1" x14ac:dyDescent="0.3">
      <c r="E800" s="17"/>
    </row>
    <row r="801" spans="5:5" ht="15.75" thickBot="1" x14ac:dyDescent="0.3">
      <c r="E801" s="17"/>
    </row>
    <row r="802" spans="5:5" ht="15.75" thickBot="1" x14ac:dyDescent="0.3">
      <c r="E802" s="17"/>
    </row>
    <row r="803" spans="5:5" ht="15.75" thickBot="1" x14ac:dyDescent="0.3">
      <c r="E803" s="17"/>
    </row>
    <row r="804" spans="5:5" ht="15.75" thickBot="1" x14ac:dyDescent="0.3">
      <c r="E804" s="17"/>
    </row>
    <row r="805" spans="5:5" ht="15.75" thickBot="1" x14ac:dyDescent="0.3">
      <c r="E805" s="17"/>
    </row>
    <row r="806" spans="5:5" ht="15.75" thickBot="1" x14ac:dyDescent="0.3">
      <c r="E806" s="17"/>
    </row>
    <row r="807" spans="5:5" ht="15.75" thickBot="1" x14ac:dyDescent="0.3">
      <c r="E807" s="17"/>
    </row>
    <row r="808" spans="5:5" ht="15.75" thickBot="1" x14ac:dyDescent="0.3">
      <c r="E808" s="17"/>
    </row>
    <row r="809" spans="5:5" ht="15.75" thickBot="1" x14ac:dyDescent="0.3">
      <c r="E809" s="17"/>
    </row>
    <row r="810" spans="5:5" ht="15.75" thickBot="1" x14ac:dyDescent="0.3">
      <c r="E810" s="17"/>
    </row>
    <row r="811" spans="5:5" ht="15.75" thickBot="1" x14ac:dyDescent="0.3">
      <c r="E811" s="17"/>
    </row>
    <row r="812" spans="5:5" ht="15.75" thickBot="1" x14ac:dyDescent="0.3">
      <c r="E812" s="17"/>
    </row>
    <row r="813" spans="5:5" ht="15.75" thickBot="1" x14ac:dyDescent="0.3">
      <c r="E813" s="17"/>
    </row>
    <row r="814" spans="5:5" ht="15.75" thickBot="1" x14ac:dyDescent="0.3">
      <c r="E814" s="17"/>
    </row>
    <row r="815" spans="5:5" ht="15.75" thickBot="1" x14ac:dyDescent="0.3">
      <c r="E815" s="17"/>
    </row>
    <row r="816" spans="5:5" ht="15.75" thickBot="1" x14ac:dyDescent="0.3">
      <c r="E816" s="17"/>
    </row>
    <row r="817" spans="5:5" ht="15.75" thickBot="1" x14ac:dyDescent="0.3">
      <c r="E817" s="17"/>
    </row>
    <row r="818" spans="5:5" ht="15.75" thickBot="1" x14ac:dyDescent="0.3">
      <c r="E818" s="17"/>
    </row>
    <row r="819" spans="5:5" ht="15.75" thickBot="1" x14ac:dyDescent="0.3">
      <c r="E819" s="17"/>
    </row>
    <row r="820" spans="5:5" ht="15.75" thickBot="1" x14ac:dyDescent="0.3">
      <c r="E820" s="17"/>
    </row>
    <row r="821" spans="5:5" ht="15.75" thickBot="1" x14ac:dyDescent="0.3">
      <c r="E821" s="17"/>
    </row>
    <row r="822" spans="5:5" ht="15.75" thickBot="1" x14ac:dyDescent="0.3">
      <c r="E822" s="17"/>
    </row>
    <row r="823" spans="5:5" ht="15.75" thickBot="1" x14ac:dyDescent="0.3">
      <c r="E823" s="17"/>
    </row>
    <row r="824" spans="5:5" ht="15.75" thickBot="1" x14ac:dyDescent="0.3">
      <c r="E824" s="17"/>
    </row>
    <row r="825" spans="5:5" ht="15.75" thickBot="1" x14ac:dyDescent="0.3">
      <c r="E825" s="17"/>
    </row>
    <row r="826" spans="5:5" ht="15.75" thickBot="1" x14ac:dyDescent="0.3">
      <c r="E826" s="17"/>
    </row>
    <row r="827" spans="5:5" ht="15.75" thickBot="1" x14ac:dyDescent="0.3">
      <c r="E827" s="17"/>
    </row>
    <row r="828" spans="5:5" ht="15.75" thickBot="1" x14ac:dyDescent="0.3">
      <c r="E828" s="17"/>
    </row>
    <row r="829" spans="5:5" ht="15.75" thickBot="1" x14ac:dyDescent="0.3">
      <c r="E829" s="17"/>
    </row>
    <row r="830" spans="5:5" ht="15.75" thickBot="1" x14ac:dyDescent="0.3">
      <c r="E830" s="17"/>
    </row>
    <row r="831" spans="5:5" ht="15.75" thickBot="1" x14ac:dyDescent="0.3">
      <c r="E831" s="17"/>
    </row>
    <row r="832" spans="5:5" ht="15.75" thickBot="1" x14ac:dyDescent="0.3">
      <c r="E832" s="17"/>
    </row>
    <row r="833" spans="5:5" ht="15.75" thickBot="1" x14ac:dyDescent="0.3">
      <c r="E833" s="17"/>
    </row>
    <row r="834" spans="5:5" ht="15.75" thickBot="1" x14ac:dyDescent="0.3">
      <c r="E834" s="17"/>
    </row>
    <row r="835" spans="5:5" ht="15.75" thickBot="1" x14ac:dyDescent="0.3">
      <c r="E835" s="17"/>
    </row>
    <row r="836" spans="5:5" ht="15.75" thickBot="1" x14ac:dyDescent="0.3">
      <c r="E836" s="17"/>
    </row>
    <row r="837" spans="5:5" ht="15.75" thickBot="1" x14ac:dyDescent="0.3">
      <c r="E837" s="17"/>
    </row>
    <row r="838" spans="5:5" ht="15.75" thickBot="1" x14ac:dyDescent="0.3">
      <c r="E838" s="17"/>
    </row>
    <row r="839" spans="5:5" ht="15.75" thickBot="1" x14ac:dyDescent="0.3">
      <c r="E839" s="17"/>
    </row>
    <row r="840" spans="5:5" ht="15.75" thickBot="1" x14ac:dyDescent="0.3">
      <c r="E840" s="17"/>
    </row>
    <row r="841" spans="5:5" ht="15.75" thickBot="1" x14ac:dyDescent="0.3">
      <c r="E841" s="17"/>
    </row>
    <row r="842" spans="5:5" ht="15.75" thickBot="1" x14ac:dyDescent="0.3">
      <c r="E842" s="17"/>
    </row>
    <row r="843" spans="5:5" ht="15.75" thickBot="1" x14ac:dyDescent="0.3">
      <c r="E843" s="17"/>
    </row>
    <row r="844" spans="5:5" ht="15.75" thickBot="1" x14ac:dyDescent="0.3">
      <c r="E844" s="17"/>
    </row>
    <row r="845" spans="5:5" ht="15.75" thickBot="1" x14ac:dyDescent="0.3">
      <c r="E845" s="17"/>
    </row>
    <row r="846" spans="5:5" ht="15.75" thickBot="1" x14ac:dyDescent="0.3">
      <c r="E846" s="17"/>
    </row>
    <row r="847" spans="5:5" ht="15.75" thickBot="1" x14ac:dyDescent="0.3">
      <c r="E847" s="17"/>
    </row>
    <row r="848" spans="5:5" ht="15.75" thickBot="1" x14ac:dyDescent="0.3">
      <c r="E848" s="17"/>
    </row>
    <row r="849" spans="5:5" ht="15.75" thickBot="1" x14ac:dyDescent="0.3">
      <c r="E849" s="17"/>
    </row>
    <row r="850" spans="5:5" ht="15.75" thickBot="1" x14ac:dyDescent="0.3">
      <c r="E850" s="17"/>
    </row>
    <row r="851" spans="5:5" ht="15.75" thickBot="1" x14ac:dyDescent="0.3">
      <c r="E851" s="17"/>
    </row>
    <row r="852" spans="5:5" ht="15.75" thickBot="1" x14ac:dyDescent="0.3">
      <c r="E852" s="17"/>
    </row>
    <row r="853" spans="5:5" ht="15.75" thickBot="1" x14ac:dyDescent="0.3">
      <c r="E853" s="17"/>
    </row>
    <row r="854" spans="5:5" ht="15.75" thickBot="1" x14ac:dyDescent="0.3">
      <c r="E854" s="17"/>
    </row>
    <row r="855" spans="5:5" ht="15.75" thickBot="1" x14ac:dyDescent="0.3">
      <c r="E855" s="17"/>
    </row>
    <row r="856" spans="5:5" ht="15.75" thickBot="1" x14ac:dyDescent="0.3">
      <c r="E856" s="17"/>
    </row>
    <row r="857" spans="5:5" ht="15.75" thickBot="1" x14ac:dyDescent="0.3">
      <c r="E857" s="17"/>
    </row>
    <row r="858" spans="5:5" ht="15.75" thickBot="1" x14ac:dyDescent="0.3">
      <c r="E858" s="17"/>
    </row>
    <row r="859" spans="5:5" ht="15.75" thickBot="1" x14ac:dyDescent="0.3">
      <c r="E859" s="17"/>
    </row>
    <row r="860" spans="5:5" ht="15.75" thickBot="1" x14ac:dyDescent="0.3">
      <c r="E860" s="17"/>
    </row>
    <row r="861" spans="5:5" ht="15.75" thickBot="1" x14ac:dyDescent="0.3">
      <c r="E861" s="17"/>
    </row>
    <row r="862" spans="5:5" ht="15.75" thickBot="1" x14ac:dyDescent="0.3">
      <c r="E862" s="17"/>
    </row>
    <row r="863" spans="5:5" ht="15.75" thickBot="1" x14ac:dyDescent="0.3">
      <c r="E863" s="17"/>
    </row>
    <row r="864" spans="5:5" ht="15.75" thickBot="1" x14ac:dyDescent="0.3">
      <c r="E864" s="17"/>
    </row>
    <row r="865" spans="5:5" ht="15.75" thickBot="1" x14ac:dyDescent="0.3">
      <c r="E865" s="17"/>
    </row>
    <row r="866" spans="5:5" ht="15.75" thickBot="1" x14ac:dyDescent="0.3">
      <c r="E866" s="17"/>
    </row>
    <row r="867" spans="5:5" ht="15.75" thickBot="1" x14ac:dyDescent="0.3">
      <c r="E867" s="17"/>
    </row>
    <row r="868" spans="5:5" ht="15.75" thickBot="1" x14ac:dyDescent="0.3">
      <c r="E868" s="17"/>
    </row>
    <row r="869" spans="5:5" ht="15.75" thickBot="1" x14ac:dyDescent="0.3">
      <c r="E869" s="17"/>
    </row>
    <row r="870" spans="5:5" ht="15.75" thickBot="1" x14ac:dyDescent="0.3">
      <c r="E870" s="17"/>
    </row>
    <row r="871" spans="5:5" ht="15.75" thickBot="1" x14ac:dyDescent="0.3">
      <c r="E871" s="17"/>
    </row>
    <row r="872" spans="5:5" ht="15.75" thickBot="1" x14ac:dyDescent="0.3">
      <c r="E872" s="17"/>
    </row>
    <row r="873" spans="5:5" ht="15.75" thickBot="1" x14ac:dyDescent="0.3">
      <c r="E873" s="17"/>
    </row>
    <row r="874" spans="5:5" ht="15.75" thickBot="1" x14ac:dyDescent="0.3">
      <c r="E874" s="17"/>
    </row>
    <row r="875" spans="5:5" ht="15.75" thickBot="1" x14ac:dyDescent="0.3">
      <c r="E875" s="17"/>
    </row>
    <row r="876" spans="5:5" ht="15.75" thickBot="1" x14ac:dyDescent="0.3">
      <c r="E876" s="17"/>
    </row>
    <row r="877" spans="5:5" ht="15.75" thickBot="1" x14ac:dyDescent="0.3">
      <c r="E877" s="17"/>
    </row>
    <row r="878" spans="5:5" ht="15.75" thickBot="1" x14ac:dyDescent="0.3">
      <c r="E878" s="17"/>
    </row>
    <row r="879" spans="5:5" ht="15.75" thickBot="1" x14ac:dyDescent="0.3">
      <c r="E879" s="17"/>
    </row>
    <row r="880" spans="5:5" ht="15.75" thickBot="1" x14ac:dyDescent="0.3">
      <c r="E880" s="17"/>
    </row>
    <row r="881" spans="5:5" ht="15.75" thickBot="1" x14ac:dyDescent="0.3">
      <c r="E881" s="17"/>
    </row>
    <row r="882" spans="5:5" ht="15.75" thickBot="1" x14ac:dyDescent="0.3">
      <c r="E882" s="17"/>
    </row>
    <row r="883" spans="5:5" ht="15.75" thickBot="1" x14ac:dyDescent="0.3">
      <c r="E883" s="17"/>
    </row>
    <row r="884" spans="5:5" ht="15.75" thickBot="1" x14ac:dyDescent="0.3">
      <c r="E884" s="17"/>
    </row>
    <row r="885" spans="5:5" ht="15.75" thickBot="1" x14ac:dyDescent="0.3">
      <c r="E885" s="17"/>
    </row>
    <row r="886" spans="5:5" ht="15.75" thickBot="1" x14ac:dyDescent="0.3">
      <c r="E886" s="17"/>
    </row>
    <row r="887" spans="5:5" ht="15.75" thickBot="1" x14ac:dyDescent="0.3">
      <c r="E887" s="17"/>
    </row>
    <row r="888" spans="5:5" ht="15.75" thickBot="1" x14ac:dyDescent="0.3">
      <c r="E888" s="17"/>
    </row>
    <row r="889" spans="5:5" ht="15.75" thickBot="1" x14ac:dyDescent="0.3">
      <c r="E889" s="17"/>
    </row>
    <row r="890" spans="5:5" ht="15.75" thickBot="1" x14ac:dyDescent="0.3">
      <c r="E890" s="17"/>
    </row>
    <row r="891" spans="5:5" ht="15.75" thickBot="1" x14ac:dyDescent="0.3">
      <c r="E891" s="17"/>
    </row>
    <row r="892" spans="5:5" ht="15.75" thickBot="1" x14ac:dyDescent="0.3">
      <c r="E892" s="17"/>
    </row>
    <row r="893" spans="5:5" ht="15.75" thickBot="1" x14ac:dyDescent="0.3">
      <c r="E893" s="17"/>
    </row>
    <row r="894" spans="5:5" ht="15.75" thickBot="1" x14ac:dyDescent="0.3">
      <c r="E894" s="17"/>
    </row>
    <row r="895" spans="5:5" ht="15.75" thickBot="1" x14ac:dyDescent="0.3">
      <c r="E895" s="17"/>
    </row>
    <row r="896" spans="5:5" ht="15.75" thickBot="1" x14ac:dyDescent="0.3">
      <c r="E896" s="17"/>
    </row>
    <row r="897" spans="5:5" ht="15.75" thickBot="1" x14ac:dyDescent="0.3">
      <c r="E897" s="17"/>
    </row>
    <row r="898" spans="5:5" ht="15.75" thickBot="1" x14ac:dyDescent="0.3">
      <c r="E898" s="17"/>
    </row>
    <row r="899" spans="5:5" ht="15.75" thickBot="1" x14ac:dyDescent="0.3">
      <c r="E899" s="17"/>
    </row>
    <row r="900" spans="5:5" ht="15.75" thickBot="1" x14ac:dyDescent="0.3">
      <c r="E900" s="17"/>
    </row>
    <row r="901" spans="5:5" ht="15.75" thickBot="1" x14ac:dyDescent="0.3">
      <c r="E901" s="17"/>
    </row>
    <row r="902" spans="5:5" ht="15.75" thickBot="1" x14ac:dyDescent="0.3">
      <c r="E902" s="17"/>
    </row>
    <row r="903" spans="5:5" ht="15.75" thickBot="1" x14ac:dyDescent="0.3">
      <c r="E903" s="17"/>
    </row>
    <row r="904" spans="5:5" ht="15.75" thickBot="1" x14ac:dyDescent="0.3">
      <c r="E904" s="17"/>
    </row>
    <row r="905" spans="5:5" ht="15.75" thickBot="1" x14ac:dyDescent="0.3">
      <c r="E905" s="17"/>
    </row>
    <row r="906" spans="5:5" ht="15.75" thickBot="1" x14ac:dyDescent="0.3">
      <c r="E906" s="17"/>
    </row>
    <row r="907" spans="5:5" ht="15.75" thickBot="1" x14ac:dyDescent="0.3">
      <c r="E907" s="17"/>
    </row>
    <row r="908" spans="5:5" ht="15.75" thickBot="1" x14ac:dyDescent="0.3">
      <c r="E908" s="17"/>
    </row>
    <row r="909" spans="5:5" ht="15.75" thickBot="1" x14ac:dyDescent="0.3">
      <c r="E909" s="17"/>
    </row>
    <row r="910" spans="5:5" ht="15.75" thickBot="1" x14ac:dyDescent="0.3">
      <c r="E910" s="17"/>
    </row>
    <row r="911" spans="5:5" ht="15.75" thickBot="1" x14ac:dyDescent="0.3">
      <c r="E911" s="17"/>
    </row>
    <row r="912" spans="5:5" ht="15.75" thickBot="1" x14ac:dyDescent="0.3">
      <c r="E912" s="17"/>
    </row>
    <row r="913" spans="5:5" ht="15.75" thickBot="1" x14ac:dyDescent="0.3">
      <c r="E913" s="17"/>
    </row>
    <row r="914" spans="5:5" ht="15.75" thickBot="1" x14ac:dyDescent="0.3">
      <c r="E914" s="17"/>
    </row>
    <row r="915" spans="5:5" ht="15.75" thickBot="1" x14ac:dyDescent="0.3">
      <c r="E915" s="17"/>
    </row>
    <row r="916" spans="5:5" ht="15.75" thickBot="1" x14ac:dyDescent="0.3">
      <c r="E916" s="17"/>
    </row>
    <row r="917" spans="5:5" ht="15.75" thickBot="1" x14ac:dyDescent="0.3">
      <c r="E917" s="17"/>
    </row>
    <row r="918" spans="5:5" ht="15.75" thickBot="1" x14ac:dyDescent="0.3">
      <c r="E918" s="17"/>
    </row>
    <row r="919" spans="5:5" ht="15.75" thickBot="1" x14ac:dyDescent="0.3">
      <c r="E919" s="17"/>
    </row>
    <row r="920" spans="5:5" ht="15.75" thickBot="1" x14ac:dyDescent="0.3">
      <c r="E920" s="17"/>
    </row>
    <row r="921" spans="5:5" ht="15.75" thickBot="1" x14ac:dyDescent="0.3">
      <c r="E921" s="17"/>
    </row>
    <row r="922" spans="5:5" ht="15.75" thickBot="1" x14ac:dyDescent="0.3">
      <c r="E922" s="17"/>
    </row>
    <row r="923" spans="5:5" ht="15.75" thickBot="1" x14ac:dyDescent="0.3">
      <c r="E923" s="17"/>
    </row>
    <row r="924" spans="5:5" ht="15.75" thickBot="1" x14ac:dyDescent="0.3">
      <c r="E924" s="17"/>
    </row>
    <row r="925" spans="5:5" ht="15.75" thickBot="1" x14ac:dyDescent="0.3">
      <c r="E925" s="17"/>
    </row>
    <row r="926" spans="5:5" ht="15.75" thickBot="1" x14ac:dyDescent="0.3">
      <c r="E926" s="17"/>
    </row>
    <row r="927" spans="5:5" ht="15.75" thickBot="1" x14ac:dyDescent="0.3">
      <c r="E927" s="17"/>
    </row>
    <row r="928" spans="5:5" ht="15.75" thickBot="1" x14ac:dyDescent="0.3">
      <c r="E928" s="17"/>
    </row>
    <row r="929" spans="5:5" ht="15.75" thickBot="1" x14ac:dyDescent="0.3">
      <c r="E929" s="17"/>
    </row>
    <row r="930" spans="5:5" ht="15.75" thickBot="1" x14ac:dyDescent="0.3">
      <c r="E930" s="17"/>
    </row>
    <row r="931" spans="5:5" ht="15.75" thickBot="1" x14ac:dyDescent="0.3">
      <c r="E931" s="17"/>
    </row>
    <row r="932" spans="5:5" ht="15.75" thickBot="1" x14ac:dyDescent="0.3">
      <c r="E932" s="17"/>
    </row>
    <row r="933" spans="5:5" ht="15.75" thickBot="1" x14ac:dyDescent="0.3">
      <c r="E933" s="17"/>
    </row>
    <row r="934" spans="5:5" ht="15.75" thickBot="1" x14ac:dyDescent="0.3">
      <c r="E934" s="17"/>
    </row>
    <row r="935" spans="5:5" ht="15.75" thickBot="1" x14ac:dyDescent="0.3">
      <c r="E935" s="17"/>
    </row>
    <row r="936" spans="5:5" ht="15.75" thickBot="1" x14ac:dyDescent="0.3">
      <c r="E936" s="17"/>
    </row>
    <row r="937" spans="5:5" ht="15.75" thickBot="1" x14ac:dyDescent="0.3">
      <c r="E937" s="17"/>
    </row>
    <row r="938" spans="5:5" ht="15.75" thickBot="1" x14ac:dyDescent="0.3">
      <c r="E938" s="17"/>
    </row>
    <row r="939" spans="5:5" ht="15.75" thickBot="1" x14ac:dyDescent="0.3">
      <c r="E939" s="17"/>
    </row>
    <row r="940" spans="5:5" ht="15.75" thickBot="1" x14ac:dyDescent="0.3">
      <c r="E940" s="17"/>
    </row>
    <row r="941" spans="5:5" ht="15.75" thickBot="1" x14ac:dyDescent="0.3">
      <c r="E941" s="17"/>
    </row>
    <row r="942" spans="5:5" ht="15.75" thickBot="1" x14ac:dyDescent="0.3">
      <c r="E942" s="17"/>
    </row>
    <row r="943" spans="5:5" ht="15.75" thickBot="1" x14ac:dyDescent="0.3">
      <c r="E943" s="17"/>
    </row>
    <row r="944" spans="5:5" ht="15.75" thickBot="1" x14ac:dyDescent="0.3">
      <c r="E944" s="17"/>
    </row>
    <row r="945" spans="5:5" ht="15.75" thickBot="1" x14ac:dyDescent="0.3">
      <c r="E945" s="17"/>
    </row>
    <row r="946" spans="5:5" ht="15.75" thickBot="1" x14ac:dyDescent="0.3">
      <c r="E946" s="17"/>
    </row>
    <row r="947" spans="5:5" ht="15.75" thickBot="1" x14ac:dyDescent="0.3">
      <c r="E947" s="17"/>
    </row>
    <row r="948" spans="5:5" ht="15.75" thickBot="1" x14ac:dyDescent="0.3">
      <c r="E948" s="17"/>
    </row>
    <row r="949" spans="5:5" ht="15.75" thickBot="1" x14ac:dyDescent="0.3">
      <c r="E949" s="17"/>
    </row>
    <row r="950" spans="5:5" ht="15.75" thickBot="1" x14ac:dyDescent="0.3">
      <c r="E950" s="17"/>
    </row>
    <row r="951" spans="5:5" ht="15.75" thickBot="1" x14ac:dyDescent="0.3">
      <c r="E951" s="17"/>
    </row>
    <row r="952" spans="5:5" ht="15.75" thickBot="1" x14ac:dyDescent="0.3">
      <c r="E952" s="17"/>
    </row>
    <row r="953" spans="5:5" ht="15.75" thickBot="1" x14ac:dyDescent="0.3">
      <c r="E953" s="17"/>
    </row>
    <row r="954" spans="5:5" ht="15.75" thickBot="1" x14ac:dyDescent="0.3">
      <c r="E954" s="17"/>
    </row>
    <row r="955" spans="5:5" ht="15.75" thickBot="1" x14ac:dyDescent="0.3">
      <c r="E955" s="17"/>
    </row>
    <row r="956" spans="5:5" ht="15.75" thickBot="1" x14ac:dyDescent="0.3">
      <c r="E956" s="17"/>
    </row>
    <row r="957" spans="5:5" ht="15.75" thickBot="1" x14ac:dyDescent="0.3">
      <c r="E957" s="17"/>
    </row>
    <row r="958" spans="5:5" ht="15.75" thickBot="1" x14ac:dyDescent="0.3">
      <c r="E958" s="17"/>
    </row>
    <row r="959" spans="5:5" ht="15.75" thickBot="1" x14ac:dyDescent="0.3">
      <c r="E959" s="17"/>
    </row>
    <row r="960" spans="5:5" ht="15.75" thickBot="1" x14ac:dyDescent="0.3">
      <c r="E960" s="17"/>
    </row>
    <row r="961" spans="5:5" ht="15.75" thickBot="1" x14ac:dyDescent="0.3">
      <c r="E961" s="17"/>
    </row>
    <row r="962" spans="5:5" ht="15.75" thickBot="1" x14ac:dyDescent="0.3">
      <c r="E962" s="17"/>
    </row>
    <row r="963" spans="5:5" ht="15.75" thickBot="1" x14ac:dyDescent="0.3">
      <c r="E963" s="17"/>
    </row>
    <row r="964" spans="5:5" ht="15.75" thickBot="1" x14ac:dyDescent="0.3">
      <c r="E964" s="17"/>
    </row>
    <row r="965" spans="5:5" ht="15.75" thickBot="1" x14ac:dyDescent="0.3">
      <c r="E965" s="17"/>
    </row>
    <row r="966" spans="5:5" ht="15.75" thickBot="1" x14ac:dyDescent="0.3">
      <c r="E966" s="17"/>
    </row>
    <row r="967" spans="5:5" ht="15.75" thickBot="1" x14ac:dyDescent="0.3">
      <c r="E967" s="17"/>
    </row>
    <row r="968" spans="5:5" ht="15.75" thickBot="1" x14ac:dyDescent="0.3">
      <c r="E968" s="17"/>
    </row>
    <row r="969" spans="5:5" ht="15.75" thickBot="1" x14ac:dyDescent="0.3">
      <c r="E969" s="17"/>
    </row>
    <row r="970" spans="5:5" ht="15.75" thickBot="1" x14ac:dyDescent="0.3">
      <c r="E970" s="17"/>
    </row>
    <row r="971" spans="5:5" ht="15.75" thickBot="1" x14ac:dyDescent="0.3">
      <c r="E971" s="17"/>
    </row>
    <row r="972" spans="5:5" ht="15.75" thickBot="1" x14ac:dyDescent="0.3">
      <c r="E972" s="17"/>
    </row>
    <row r="973" spans="5:5" ht="15.75" thickBot="1" x14ac:dyDescent="0.3">
      <c r="E973" s="17"/>
    </row>
    <row r="974" spans="5:5" ht="15.75" thickBot="1" x14ac:dyDescent="0.3">
      <c r="E974" s="17"/>
    </row>
    <row r="975" spans="5:5" ht="15.75" thickBot="1" x14ac:dyDescent="0.3">
      <c r="E975" s="17"/>
    </row>
    <row r="976" spans="5:5" ht="15.75" thickBot="1" x14ac:dyDescent="0.3">
      <c r="E976" s="17"/>
    </row>
    <row r="977" spans="5:5" ht="15.75" thickBot="1" x14ac:dyDescent="0.3">
      <c r="E977" s="17"/>
    </row>
    <row r="978" spans="5:5" ht="15.75" thickBot="1" x14ac:dyDescent="0.3">
      <c r="E978" s="17"/>
    </row>
    <row r="979" spans="5:5" ht="15.75" thickBot="1" x14ac:dyDescent="0.3">
      <c r="E979" s="17"/>
    </row>
    <row r="980" spans="5:5" ht="15.75" thickBot="1" x14ac:dyDescent="0.3">
      <c r="E980" s="17"/>
    </row>
    <row r="981" spans="5:5" ht="15.75" thickBot="1" x14ac:dyDescent="0.3">
      <c r="E981" s="17"/>
    </row>
    <row r="982" spans="5:5" ht="15.75" thickBot="1" x14ac:dyDescent="0.3">
      <c r="E982" s="17"/>
    </row>
    <row r="983" spans="5:5" ht="15.75" thickBot="1" x14ac:dyDescent="0.3">
      <c r="E983" s="17"/>
    </row>
    <row r="984" spans="5:5" ht="15.75" thickBot="1" x14ac:dyDescent="0.3">
      <c r="E984" s="17"/>
    </row>
    <row r="985" spans="5:5" ht="15.75" thickBot="1" x14ac:dyDescent="0.3">
      <c r="E985" s="17"/>
    </row>
    <row r="986" spans="5:5" ht="15.75" thickBot="1" x14ac:dyDescent="0.3">
      <c r="E986" s="17"/>
    </row>
    <row r="987" spans="5:5" ht="15.75" thickBot="1" x14ac:dyDescent="0.3">
      <c r="E987" s="17"/>
    </row>
    <row r="988" spans="5:5" ht="15.75" thickBot="1" x14ac:dyDescent="0.3">
      <c r="E988" s="17"/>
    </row>
    <row r="989" spans="5:5" ht="15.75" thickBot="1" x14ac:dyDescent="0.3">
      <c r="E989" s="17"/>
    </row>
    <row r="990" spans="5:5" ht="15.75" thickBot="1" x14ac:dyDescent="0.3">
      <c r="E990" s="17"/>
    </row>
    <row r="991" spans="5:5" ht="15.75" thickBot="1" x14ac:dyDescent="0.3">
      <c r="E991" s="17"/>
    </row>
    <row r="992" spans="5:5" ht="15.75" thickBot="1" x14ac:dyDescent="0.3">
      <c r="E992" s="17"/>
    </row>
    <row r="993" spans="5:5" ht="15.75" thickBot="1" x14ac:dyDescent="0.3">
      <c r="E993" s="17"/>
    </row>
    <row r="994" spans="5:5" ht="15.75" thickBot="1" x14ac:dyDescent="0.3">
      <c r="E994" s="17"/>
    </row>
    <row r="995" spans="5:5" ht="15.75" thickBot="1" x14ac:dyDescent="0.3">
      <c r="E995" s="17"/>
    </row>
    <row r="996" spans="5:5" ht="15.75" thickBot="1" x14ac:dyDescent="0.3">
      <c r="E996" s="17"/>
    </row>
    <row r="997" spans="5:5" ht="15.75" thickBot="1" x14ac:dyDescent="0.3">
      <c r="E997" s="17"/>
    </row>
    <row r="998" spans="5:5" ht="15.75" thickBot="1" x14ac:dyDescent="0.3">
      <c r="E998" s="17"/>
    </row>
    <row r="999" spans="5:5" ht="15.75" thickBot="1" x14ac:dyDescent="0.3">
      <c r="E999" s="17"/>
    </row>
    <row r="1000" spans="5:5" ht="15.75" thickBot="1" x14ac:dyDescent="0.3">
      <c r="E1000" s="17"/>
    </row>
  </sheetData>
  <sortState xmlns:xlrd2="http://schemas.microsoft.com/office/spreadsheetml/2017/richdata2" ref="A2:E1000">
    <sortCondition ref="A2:A1000"/>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34E5C-FBFC-4161-84AB-07626FBC51D5}">
  <dimension ref="A1:F1000"/>
  <sheetViews>
    <sheetView topLeftCell="A51" workbookViewId="0">
      <selection activeCell="F37" sqref="F37"/>
    </sheetView>
  </sheetViews>
  <sheetFormatPr baseColWidth="10" defaultRowHeight="15" x14ac:dyDescent="0.25"/>
  <cols>
    <col min="1" max="1" width="11.42578125" style="4"/>
    <col min="2" max="2" width="26.7109375" customWidth="1"/>
    <col min="3" max="3" width="20.7109375" style="4" customWidth="1"/>
    <col min="4" max="4" width="21.28515625" customWidth="1"/>
  </cols>
  <sheetData>
    <row r="1" spans="1:6" ht="15.75" thickBot="1" x14ac:dyDescent="0.3">
      <c r="A1" s="7" t="s">
        <v>1067</v>
      </c>
      <c r="B1" s="5" t="s">
        <v>0</v>
      </c>
      <c r="C1" s="5" t="s">
        <v>51</v>
      </c>
      <c r="D1" s="5" t="s">
        <v>52</v>
      </c>
      <c r="E1" s="16" t="s">
        <v>1016</v>
      </c>
      <c r="F1" s="24" t="s">
        <v>1069</v>
      </c>
    </row>
    <row r="2" spans="1:6" ht="90.75" thickBot="1" x14ac:dyDescent="0.3">
      <c r="A2" s="4">
        <f>_xlfn.XLOOKUP(E2,Orden_preguntas!$B:$B,Orden_preguntas!$A:$A)</f>
        <v>1</v>
      </c>
      <c r="B2" s="6" t="s">
        <v>513</v>
      </c>
      <c r="C2" s="8">
        <v>1</v>
      </c>
      <c r="D2" s="6" t="s">
        <v>563</v>
      </c>
      <c r="E2" s="17" t="s">
        <v>1027</v>
      </c>
    </row>
    <row r="3" spans="1:6" s="23" customFormat="1" ht="90.75" thickBot="1" x14ac:dyDescent="0.3">
      <c r="A3" s="19">
        <f>_xlfn.XLOOKUP(E3,Orden_preguntas!$B:$B,Orden_preguntas!$A:$A)</f>
        <v>2</v>
      </c>
      <c r="B3" s="20" t="s">
        <v>508</v>
      </c>
      <c r="C3" s="21">
        <v>1</v>
      </c>
      <c r="D3" s="20" t="s">
        <v>558</v>
      </c>
      <c r="E3" s="22" t="s">
        <v>1032</v>
      </c>
    </row>
    <row r="4" spans="1:6" ht="105.75" thickBot="1" x14ac:dyDescent="0.3">
      <c r="A4" s="4">
        <f>_xlfn.XLOOKUP(E4,Orden_preguntas!$B:$B,Orden_preguntas!$A:$A)</f>
        <v>3</v>
      </c>
      <c r="B4" s="6" t="s">
        <v>503</v>
      </c>
      <c r="C4" s="8">
        <v>0.9</v>
      </c>
      <c r="D4" s="6" t="s">
        <v>553</v>
      </c>
      <c r="E4" s="17" t="s">
        <v>1022</v>
      </c>
    </row>
    <row r="5" spans="1:6" ht="105.75" thickBot="1" x14ac:dyDescent="0.3">
      <c r="A5" s="4">
        <f>_xlfn.XLOOKUP(E5,Orden_preguntas!$B:$B,Orden_preguntas!$A:$A)</f>
        <v>4</v>
      </c>
      <c r="B5" s="6" t="s">
        <v>505</v>
      </c>
      <c r="C5" s="8">
        <v>1</v>
      </c>
      <c r="D5" s="6" t="s">
        <v>555</v>
      </c>
      <c r="E5" s="17" t="s">
        <v>1036</v>
      </c>
    </row>
    <row r="6" spans="1:6" ht="105.75" thickBot="1" x14ac:dyDescent="0.3">
      <c r="A6" s="4">
        <f>_xlfn.XLOOKUP(E6,Orden_preguntas!$B:$B,Orden_preguntas!$A:$A)</f>
        <v>5</v>
      </c>
      <c r="B6" s="6" t="s">
        <v>507</v>
      </c>
      <c r="C6" s="8">
        <v>1</v>
      </c>
      <c r="D6" s="6" t="s">
        <v>557</v>
      </c>
      <c r="E6" s="17" t="s">
        <v>1028</v>
      </c>
    </row>
    <row r="7" spans="1:6" ht="90.75" thickBot="1" x14ac:dyDescent="0.3">
      <c r="A7" s="4">
        <f>_xlfn.XLOOKUP(E7,Orden_preguntas!$B:$B,Orden_preguntas!$A:$A)</f>
        <v>6</v>
      </c>
      <c r="B7" s="6" t="s">
        <v>509</v>
      </c>
      <c r="C7" s="8">
        <v>1</v>
      </c>
      <c r="D7" s="6" t="s">
        <v>559</v>
      </c>
      <c r="E7" s="17" t="s">
        <v>1024</v>
      </c>
    </row>
    <row r="8" spans="1:6" ht="120.75" thickBot="1" x14ac:dyDescent="0.3">
      <c r="A8" s="4">
        <f>_xlfn.XLOOKUP(E8,Orden_preguntas!$B:$B,Orden_preguntas!$A:$A)</f>
        <v>7</v>
      </c>
      <c r="B8" s="6" t="s">
        <v>516</v>
      </c>
      <c r="C8" s="8">
        <v>0.9</v>
      </c>
      <c r="D8" s="6" t="s">
        <v>566</v>
      </c>
      <c r="E8" s="17" t="s">
        <v>1030</v>
      </c>
    </row>
    <row r="9" spans="1:6" s="23" customFormat="1" ht="105.75" thickBot="1" x14ac:dyDescent="0.3">
      <c r="A9" s="19">
        <f>_xlfn.XLOOKUP(E9,Orden_preguntas!$B:$B,Orden_preguntas!$A:$A)</f>
        <v>8</v>
      </c>
      <c r="B9" s="20" t="s">
        <v>520</v>
      </c>
      <c r="C9" s="21">
        <v>0.9</v>
      </c>
      <c r="D9" s="20" t="s">
        <v>570</v>
      </c>
      <c r="E9" s="22" t="s">
        <v>1020</v>
      </c>
    </row>
    <row r="10" spans="1:6" ht="90.75" thickBot="1" x14ac:dyDescent="0.3">
      <c r="A10" s="4">
        <f>_xlfn.XLOOKUP(E10,Orden_preguntas!$B:$B,Orden_preguntas!$A:$A)</f>
        <v>9</v>
      </c>
      <c r="B10" s="6" t="s">
        <v>511</v>
      </c>
      <c r="C10" s="8">
        <v>1</v>
      </c>
      <c r="D10" s="6" t="s">
        <v>561</v>
      </c>
      <c r="E10" s="17" t="s">
        <v>1034</v>
      </c>
    </row>
    <row r="11" spans="1:6" ht="90.75" thickBot="1" x14ac:dyDescent="0.3">
      <c r="A11" s="4">
        <f>_xlfn.XLOOKUP(E11,Orden_preguntas!$B:$B,Orden_preguntas!$A:$A)</f>
        <v>10</v>
      </c>
      <c r="B11" s="6" t="s">
        <v>518</v>
      </c>
      <c r="C11" s="8">
        <v>0.2</v>
      </c>
      <c r="D11" s="6" t="s">
        <v>568</v>
      </c>
      <c r="E11" s="17" t="s">
        <v>1035</v>
      </c>
    </row>
    <row r="12" spans="1:6" ht="135.75" thickBot="1" x14ac:dyDescent="0.3">
      <c r="A12" s="4">
        <f>_xlfn.XLOOKUP(E12,Orden_preguntas!$B:$B,Orden_preguntas!$A:$A)</f>
        <v>11</v>
      </c>
      <c r="B12" s="6" t="s">
        <v>506</v>
      </c>
      <c r="C12" s="8">
        <v>1</v>
      </c>
      <c r="D12" s="6" t="s">
        <v>556</v>
      </c>
      <c r="E12" s="17" t="s">
        <v>1017</v>
      </c>
    </row>
    <row r="13" spans="1:6" ht="120.75" thickBot="1" x14ac:dyDescent="0.3">
      <c r="A13" s="4">
        <f>_xlfn.XLOOKUP(E13,Orden_preguntas!$B:$B,Orden_preguntas!$A:$A)</f>
        <v>12</v>
      </c>
      <c r="B13" s="6" t="s">
        <v>514</v>
      </c>
      <c r="C13" s="8">
        <v>1</v>
      </c>
      <c r="D13" s="6" t="s">
        <v>564</v>
      </c>
      <c r="E13" s="17" t="s">
        <v>1023</v>
      </c>
    </row>
    <row r="14" spans="1:6" ht="135.75" thickBot="1" x14ac:dyDescent="0.3">
      <c r="A14" s="4">
        <f>_xlfn.XLOOKUP(E14,Orden_preguntas!$B:$B,Orden_preguntas!$A:$A)</f>
        <v>13</v>
      </c>
      <c r="B14" s="6" t="s">
        <v>522</v>
      </c>
      <c r="C14" s="8">
        <v>0.3</v>
      </c>
      <c r="D14" s="6" t="s">
        <v>572</v>
      </c>
      <c r="E14" s="17" t="s">
        <v>1033</v>
      </c>
    </row>
    <row r="15" spans="1:6" ht="105.75" thickBot="1" x14ac:dyDescent="0.3">
      <c r="A15" s="4">
        <f>_xlfn.XLOOKUP(E15,Orden_preguntas!$B:$B,Orden_preguntas!$A:$A)</f>
        <v>14</v>
      </c>
      <c r="B15" s="6" t="s">
        <v>517</v>
      </c>
      <c r="C15" s="8">
        <v>1</v>
      </c>
      <c r="D15" s="6" t="s">
        <v>567</v>
      </c>
      <c r="E15" s="17" t="s">
        <v>1018</v>
      </c>
    </row>
    <row r="16" spans="1:6" ht="150.75" thickBot="1" x14ac:dyDescent="0.3">
      <c r="A16" s="4">
        <f>_xlfn.XLOOKUP(E16,Orden_preguntas!$B:$B,Orden_preguntas!$A:$A)</f>
        <v>15</v>
      </c>
      <c r="B16" s="6" t="s">
        <v>519</v>
      </c>
      <c r="C16" s="8">
        <v>0.9</v>
      </c>
      <c r="D16" s="6" t="s">
        <v>569</v>
      </c>
      <c r="E16" s="17" t="s">
        <v>1025</v>
      </c>
    </row>
    <row r="17" spans="1:6" s="14" customFormat="1" ht="105.75" thickBot="1" x14ac:dyDescent="0.3">
      <c r="A17" s="11">
        <f>_xlfn.XLOOKUP(E17,Orden_preguntas!$B:$B,Orden_preguntas!$A:$A)</f>
        <v>16</v>
      </c>
      <c r="B17" s="12" t="s">
        <v>504</v>
      </c>
      <c r="C17" s="13">
        <v>0.8</v>
      </c>
      <c r="D17" s="12" t="s">
        <v>554</v>
      </c>
      <c r="E17" s="18" t="s">
        <v>1019</v>
      </c>
      <c r="F17" s="14" t="s">
        <v>1068</v>
      </c>
    </row>
    <row r="18" spans="1:6" ht="75.75" thickBot="1" x14ac:dyDescent="0.3">
      <c r="A18" s="4">
        <f>_xlfn.XLOOKUP(E18,Orden_preguntas!$B:$B,Orden_preguntas!$A:$A)</f>
        <v>17</v>
      </c>
      <c r="B18" s="6" t="s">
        <v>536</v>
      </c>
      <c r="C18" s="8">
        <v>0.7</v>
      </c>
      <c r="D18" s="6" t="s">
        <v>586</v>
      </c>
      <c r="E18" s="17" t="s">
        <v>1026</v>
      </c>
    </row>
    <row r="19" spans="1:6" s="14" customFormat="1" ht="75.75" thickBot="1" x14ac:dyDescent="0.3">
      <c r="A19" s="11">
        <f>_xlfn.XLOOKUP(E19,Orden_preguntas!$B:$B,Orden_preguntas!$A:$A)</f>
        <v>18</v>
      </c>
      <c r="B19" s="12" t="s">
        <v>510</v>
      </c>
      <c r="C19" s="13">
        <v>0.8</v>
      </c>
      <c r="D19" s="15" t="s">
        <v>560</v>
      </c>
      <c r="E19" s="18" t="s">
        <v>1031</v>
      </c>
      <c r="F19" s="14" t="s">
        <v>1070</v>
      </c>
    </row>
    <row r="20" spans="1:6" ht="135.75" thickBot="1" x14ac:dyDescent="0.3">
      <c r="A20" s="4">
        <f>_xlfn.XLOOKUP(E20,Orden_preguntas!$B:$B,Orden_preguntas!$A:$A)</f>
        <v>19</v>
      </c>
      <c r="B20" s="6" t="s">
        <v>512</v>
      </c>
      <c r="C20" s="8">
        <v>1</v>
      </c>
      <c r="D20" s="6" t="s">
        <v>562</v>
      </c>
      <c r="E20" s="17" t="s">
        <v>1029</v>
      </c>
    </row>
    <row r="21" spans="1:6" ht="135.75" thickBot="1" x14ac:dyDescent="0.3">
      <c r="A21" s="4">
        <f>_xlfn.XLOOKUP(E21,Orden_preguntas!$B:$B,Orden_preguntas!$A:$A)</f>
        <v>20</v>
      </c>
      <c r="B21" s="6" t="s">
        <v>515</v>
      </c>
      <c r="C21" s="8">
        <v>1</v>
      </c>
      <c r="D21" s="6" t="s">
        <v>565</v>
      </c>
      <c r="E21" s="17" t="s">
        <v>1021</v>
      </c>
    </row>
    <row r="22" spans="1:6" ht="120.75" thickBot="1" x14ac:dyDescent="0.3">
      <c r="A22" s="4">
        <f>_xlfn.XLOOKUP(E22,Orden_preguntas!$B:$B,Orden_preguntas!$A:$A)</f>
        <v>21</v>
      </c>
      <c r="B22" s="6" t="s">
        <v>532</v>
      </c>
      <c r="C22" s="8">
        <v>0.9</v>
      </c>
      <c r="D22" s="6" t="s">
        <v>582</v>
      </c>
      <c r="E22" s="17" t="s">
        <v>1038</v>
      </c>
    </row>
    <row r="23" spans="1:6" ht="150.75" thickBot="1" x14ac:dyDescent="0.3">
      <c r="A23" s="4">
        <f>_xlfn.XLOOKUP(E23,Orden_preguntas!$B:$B,Orden_preguntas!$A:$A)</f>
        <v>22</v>
      </c>
      <c r="B23" s="6" t="s">
        <v>527</v>
      </c>
      <c r="C23" s="8">
        <v>1</v>
      </c>
      <c r="D23" s="6" t="s">
        <v>577</v>
      </c>
      <c r="E23" s="17" t="s">
        <v>1048</v>
      </c>
    </row>
    <row r="24" spans="1:6" ht="120.75" thickBot="1" x14ac:dyDescent="0.3">
      <c r="A24" s="4">
        <f>_xlfn.XLOOKUP(E24,Orden_preguntas!$B:$B,Orden_preguntas!$A:$A)</f>
        <v>23</v>
      </c>
      <c r="B24" s="6" t="s">
        <v>521</v>
      </c>
      <c r="C24" s="8">
        <v>1</v>
      </c>
      <c r="D24" s="6" t="s">
        <v>571</v>
      </c>
      <c r="E24" s="17" t="s">
        <v>1056</v>
      </c>
    </row>
    <row r="25" spans="1:6" ht="135.75" thickBot="1" x14ac:dyDescent="0.3">
      <c r="A25" s="4">
        <f>_xlfn.XLOOKUP(E25,Orden_preguntas!$B:$B,Orden_preguntas!$A:$A)</f>
        <v>24</v>
      </c>
      <c r="B25" s="6" t="s">
        <v>530</v>
      </c>
      <c r="C25" s="8">
        <v>0.4</v>
      </c>
      <c r="D25" s="6" t="s">
        <v>580</v>
      </c>
      <c r="E25" s="17" t="s">
        <v>1037</v>
      </c>
    </row>
    <row r="26" spans="1:6" ht="120.75" thickBot="1" x14ac:dyDescent="0.3">
      <c r="A26" s="4">
        <f>_xlfn.XLOOKUP(E26,Orden_preguntas!$B:$B,Orden_preguntas!$A:$A)</f>
        <v>25</v>
      </c>
      <c r="B26" s="6" t="s">
        <v>524</v>
      </c>
      <c r="C26" s="8">
        <v>1</v>
      </c>
      <c r="D26" s="6" t="s">
        <v>574</v>
      </c>
      <c r="E26" s="17" t="s">
        <v>1039</v>
      </c>
    </row>
    <row r="27" spans="1:6" ht="135.75" thickBot="1" x14ac:dyDescent="0.3">
      <c r="A27" s="4">
        <f>_xlfn.XLOOKUP(E27,Orden_preguntas!$B:$B,Orden_preguntas!$A:$A)</f>
        <v>26</v>
      </c>
      <c r="B27" s="6" t="s">
        <v>525</v>
      </c>
      <c r="C27" s="8">
        <v>1</v>
      </c>
      <c r="D27" s="6" t="s">
        <v>575</v>
      </c>
      <c r="E27" s="17" t="s">
        <v>1041</v>
      </c>
    </row>
    <row r="28" spans="1:6" ht="105.75" thickBot="1" x14ac:dyDescent="0.3">
      <c r="A28" s="4">
        <f>_xlfn.XLOOKUP(E28,Orden_preguntas!$B:$B,Orden_preguntas!$A:$A)</f>
        <v>27</v>
      </c>
      <c r="B28" s="6" t="s">
        <v>546</v>
      </c>
      <c r="C28" s="8">
        <v>0.9</v>
      </c>
      <c r="D28" s="6" t="s">
        <v>596</v>
      </c>
      <c r="E28" s="17" t="s">
        <v>1040</v>
      </c>
    </row>
    <row r="29" spans="1:6" ht="105.75" thickBot="1" x14ac:dyDescent="0.3">
      <c r="A29" s="4">
        <f>_xlfn.XLOOKUP(E29,Orden_preguntas!$B:$B,Orden_preguntas!$A:$A)</f>
        <v>28</v>
      </c>
      <c r="B29" s="6" t="s">
        <v>528</v>
      </c>
      <c r="C29" s="8">
        <v>1</v>
      </c>
      <c r="D29" s="6" t="s">
        <v>578</v>
      </c>
      <c r="E29" s="17" t="s">
        <v>1042</v>
      </c>
    </row>
    <row r="30" spans="1:6" ht="135.75" thickBot="1" x14ac:dyDescent="0.3">
      <c r="A30" s="4">
        <f>_xlfn.XLOOKUP(E30,Orden_preguntas!$B:$B,Orden_preguntas!$A:$A)</f>
        <v>29</v>
      </c>
      <c r="B30" s="6" t="s">
        <v>537</v>
      </c>
      <c r="C30" s="8">
        <v>1</v>
      </c>
      <c r="D30" s="6" t="s">
        <v>587</v>
      </c>
      <c r="E30" s="17" t="s">
        <v>1043</v>
      </c>
    </row>
    <row r="31" spans="1:6" ht="150.75" thickBot="1" x14ac:dyDescent="0.3">
      <c r="A31" s="4">
        <f>_xlfn.XLOOKUP(E31,Orden_preguntas!$B:$B,Orden_preguntas!$A:$A)</f>
        <v>30</v>
      </c>
      <c r="B31" s="6" t="s">
        <v>523</v>
      </c>
      <c r="C31" s="8">
        <v>0.6</v>
      </c>
      <c r="D31" s="6" t="s">
        <v>573</v>
      </c>
      <c r="E31" s="17" t="s">
        <v>1045</v>
      </c>
    </row>
    <row r="32" spans="1:6" ht="150.75" thickBot="1" x14ac:dyDescent="0.3">
      <c r="A32" s="4">
        <f>_xlfn.XLOOKUP(E32,Orden_preguntas!$B:$B,Orden_preguntas!$A:$A)</f>
        <v>31</v>
      </c>
      <c r="B32" s="6" t="s">
        <v>529</v>
      </c>
      <c r="C32" s="8">
        <v>1</v>
      </c>
      <c r="D32" s="6" t="s">
        <v>579</v>
      </c>
      <c r="E32" s="17" t="s">
        <v>1051</v>
      </c>
    </row>
    <row r="33" spans="1:6" ht="180.75" thickBot="1" x14ac:dyDescent="0.3">
      <c r="A33" s="4">
        <f>_xlfn.XLOOKUP(E33,Orden_preguntas!$B:$B,Orden_preguntas!$A:$A)</f>
        <v>32</v>
      </c>
      <c r="B33" s="6" t="s">
        <v>526</v>
      </c>
      <c r="C33" s="8">
        <v>1</v>
      </c>
      <c r="D33" s="6" t="s">
        <v>576</v>
      </c>
      <c r="E33" s="17" t="s">
        <v>1047</v>
      </c>
    </row>
    <row r="34" spans="1:6" ht="165.75" thickBot="1" x14ac:dyDescent="0.3">
      <c r="A34" s="4">
        <f>_xlfn.XLOOKUP(E34,Orden_preguntas!$B:$B,Orden_preguntas!$A:$A)</f>
        <v>33</v>
      </c>
      <c r="B34" s="6" t="s">
        <v>531</v>
      </c>
      <c r="C34" s="8">
        <v>1</v>
      </c>
      <c r="D34" s="6" t="s">
        <v>581</v>
      </c>
      <c r="E34" s="17" t="s">
        <v>1053</v>
      </c>
    </row>
    <row r="35" spans="1:6" ht="120.75" thickBot="1" x14ac:dyDescent="0.3">
      <c r="A35" s="4">
        <f>_xlfn.XLOOKUP(E35,Orden_preguntas!$B:$B,Orden_preguntas!$A:$A)</f>
        <v>34</v>
      </c>
      <c r="B35" s="6" t="s">
        <v>534</v>
      </c>
      <c r="C35" s="8">
        <v>1</v>
      </c>
      <c r="D35" s="6" t="s">
        <v>584</v>
      </c>
      <c r="E35" s="17" t="s">
        <v>1057</v>
      </c>
    </row>
    <row r="36" spans="1:6" ht="165.75" thickBot="1" x14ac:dyDescent="0.3">
      <c r="A36" s="4">
        <f>_xlfn.XLOOKUP(E36,Orden_preguntas!$B:$B,Orden_preguntas!$A:$A)</f>
        <v>35</v>
      </c>
      <c r="B36" s="6" t="s">
        <v>533</v>
      </c>
      <c r="C36" s="8">
        <v>1</v>
      </c>
      <c r="D36" s="6" t="s">
        <v>583</v>
      </c>
      <c r="E36" s="17" t="s">
        <v>1046</v>
      </c>
    </row>
    <row r="37" spans="1:6" s="14" customFormat="1" ht="135.75" thickBot="1" x14ac:dyDescent="0.3">
      <c r="A37" s="11">
        <f>_xlfn.XLOOKUP(E37,Orden_preguntas!$B:$B,Orden_preguntas!$A:$A)</f>
        <v>36</v>
      </c>
      <c r="B37" s="12" t="s">
        <v>539</v>
      </c>
      <c r="C37" s="13">
        <v>0.8</v>
      </c>
      <c r="D37" s="12" t="s">
        <v>589</v>
      </c>
      <c r="E37" s="18" t="s">
        <v>1049</v>
      </c>
      <c r="F37" s="14" t="s">
        <v>1071</v>
      </c>
    </row>
    <row r="38" spans="1:6" s="23" customFormat="1" ht="135.75" thickBot="1" x14ac:dyDescent="0.3">
      <c r="A38" s="19">
        <f>_xlfn.XLOOKUP(E38,Orden_preguntas!$B:$B,Orden_preguntas!$A:$A)</f>
        <v>37</v>
      </c>
      <c r="B38" s="20" t="s">
        <v>538</v>
      </c>
      <c r="C38" s="21">
        <v>0.9</v>
      </c>
      <c r="D38" s="20" t="s">
        <v>588</v>
      </c>
      <c r="E38" s="22" t="s">
        <v>1052</v>
      </c>
    </row>
    <row r="39" spans="1:6" ht="105.75" thickBot="1" x14ac:dyDescent="0.3">
      <c r="A39" s="4">
        <f>_xlfn.XLOOKUP(E39,Orden_preguntas!$B:$B,Orden_preguntas!$A:$A)</f>
        <v>38</v>
      </c>
      <c r="B39" s="6" t="s">
        <v>535</v>
      </c>
      <c r="C39" s="8">
        <v>1</v>
      </c>
      <c r="D39" s="6" t="s">
        <v>585</v>
      </c>
      <c r="E39" s="17" t="s">
        <v>1044</v>
      </c>
    </row>
    <row r="40" spans="1:6" ht="165.75" thickBot="1" x14ac:dyDescent="0.3">
      <c r="A40" s="4">
        <f>_xlfn.XLOOKUP(E40,Orden_preguntas!$B:$B,Orden_preguntas!$A:$A)</f>
        <v>39</v>
      </c>
      <c r="B40" s="6" t="s">
        <v>544</v>
      </c>
      <c r="C40" s="8">
        <v>0.9</v>
      </c>
      <c r="D40" s="6" t="s">
        <v>594</v>
      </c>
      <c r="E40" s="17" t="s">
        <v>1055</v>
      </c>
    </row>
    <row r="41" spans="1:6" ht="165.75" thickBot="1" x14ac:dyDescent="0.3">
      <c r="A41" s="4">
        <f>_xlfn.XLOOKUP(E41,Orden_preguntas!$B:$B,Orden_preguntas!$A:$A)</f>
        <v>40</v>
      </c>
      <c r="B41" s="6" t="s">
        <v>550</v>
      </c>
      <c r="C41" s="8">
        <v>0.9</v>
      </c>
      <c r="D41" s="6" t="s">
        <v>600</v>
      </c>
      <c r="E41" s="17" t="s">
        <v>1050</v>
      </c>
    </row>
    <row r="42" spans="1:6" ht="225.75" thickBot="1" x14ac:dyDescent="0.3">
      <c r="A42" s="4">
        <f>_xlfn.XLOOKUP(E42,Orden_preguntas!$B:$B,Orden_preguntas!$A:$A)</f>
        <v>41</v>
      </c>
      <c r="B42" s="6" t="s">
        <v>543</v>
      </c>
      <c r="C42" s="8">
        <v>1</v>
      </c>
      <c r="D42" s="6" t="s">
        <v>593</v>
      </c>
      <c r="E42" s="17" t="s">
        <v>1054</v>
      </c>
    </row>
    <row r="43" spans="1:6" ht="165.75" thickBot="1" x14ac:dyDescent="0.3">
      <c r="A43" s="4">
        <f>_xlfn.XLOOKUP(E43,Orden_preguntas!$B:$B,Orden_preguntas!$A:$A)</f>
        <v>42</v>
      </c>
      <c r="B43" s="6" t="s">
        <v>542</v>
      </c>
      <c r="C43" s="8">
        <v>1</v>
      </c>
      <c r="D43" s="6" t="s">
        <v>592</v>
      </c>
      <c r="E43" s="17" t="s">
        <v>1065</v>
      </c>
    </row>
    <row r="44" spans="1:6" ht="165.75" thickBot="1" x14ac:dyDescent="0.3">
      <c r="A44" s="4">
        <f>_xlfn.XLOOKUP(E44,Orden_preguntas!$B:$B,Orden_preguntas!$A:$A)</f>
        <v>43</v>
      </c>
      <c r="B44" s="6" t="s">
        <v>540</v>
      </c>
      <c r="C44" s="8">
        <v>1</v>
      </c>
      <c r="D44" s="6" t="s">
        <v>590</v>
      </c>
      <c r="E44" s="17" t="s">
        <v>1059</v>
      </c>
    </row>
    <row r="45" spans="1:6" ht="135.75" thickBot="1" x14ac:dyDescent="0.3">
      <c r="A45" s="4">
        <f>_xlfn.XLOOKUP(E45,Orden_preguntas!$B:$B,Orden_preguntas!$A:$A)</f>
        <v>44</v>
      </c>
      <c r="B45" s="6" t="s">
        <v>541</v>
      </c>
      <c r="C45" s="8">
        <v>1</v>
      </c>
      <c r="D45" s="6" t="s">
        <v>591</v>
      </c>
      <c r="E45" s="17" t="s">
        <v>1058</v>
      </c>
    </row>
    <row r="46" spans="1:6" ht="150.75" thickBot="1" x14ac:dyDescent="0.3">
      <c r="A46" s="4">
        <f>_xlfn.XLOOKUP(E46,Orden_preguntas!$B:$B,Orden_preguntas!$A:$A)</f>
        <v>45</v>
      </c>
      <c r="B46" s="6" t="s">
        <v>549</v>
      </c>
      <c r="C46" s="8">
        <v>1</v>
      </c>
      <c r="D46" s="6" t="s">
        <v>599</v>
      </c>
      <c r="E46" s="17" t="s">
        <v>1061</v>
      </c>
    </row>
    <row r="47" spans="1:6" ht="105.75" thickBot="1" x14ac:dyDescent="0.3">
      <c r="A47" s="4">
        <f>_xlfn.XLOOKUP(E47,Orden_preguntas!$B:$B,Orden_preguntas!$A:$A)</f>
        <v>46</v>
      </c>
      <c r="B47" s="6" t="s">
        <v>547</v>
      </c>
      <c r="C47" s="8">
        <v>1</v>
      </c>
      <c r="D47" s="6" t="s">
        <v>597</v>
      </c>
      <c r="E47" s="17" t="s">
        <v>1060</v>
      </c>
    </row>
    <row r="48" spans="1:6" ht="135.75" thickBot="1" x14ac:dyDescent="0.3">
      <c r="A48" s="4">
        <f>_xlfn.XLOOKUP(E48,Orden_preguntas!$B:$B,Orden_preguntas!$A:$A)</f>
        <v>47</v>
      </c>
      <c r="B48" s="6" t="s">
        <v>551</v>
      </c>
      <c r="C48" s="8">
        <v>0.7</v>
      </c>
      <c r="D48" s="6" t="s">
        <v>601</v>
      </c>
      <c r="E48" s="17" t="s">
        <v>1062</v>
      </c>
    </row>
    <row r="49" spans="1:5" ht="165.75" thickBot="1" x14ac:dyDescent="0.3">
      <c r="A49" s="4">
        <f>_xlfn.XLOOKUP(E49,Orden_preguntas!$B:$B,Orden_preguntas!$A:$A)</f>
        <v>48</v>
      </c>
      <c r="B49" s="6" t="s">
        <v>552</v>
      </c>
      <c r="C49" s="8">
        <v>0.7</v>
      </c>
      <c r="D49" s="6" t="s">
        <v>602</v>
      </c>
      <c r="E49" s="17" t="s">
        <v>1066</v>
      </c>
    </row>
    <row r="50" spans="1:5" ht="195.75" thickBot="1" x14ac:dyDescent="0.3">
      <c r="A50" s="4">
        <f>_xlfn.XLOOKUP(E50,Orden_preguntas!$B:$B,Orden_preguntas!$A:$A)</f>
        <v>49</v>
      </c>
      <c r="B50" s="6" t="s">
        <v>545</v>
      </c>
      <c r="C50" s="8">
        <v>1</v>
      </c>
      <c r="D50" s="6" t="s">
        <v>595</v>
      </c>
      <c r="E50" s="17" t="s">
        <v>1063</v>
      </c>
    </row>
    <row r="51" spans="1:5" ht="210.75" thickBot="1" x14ac:dyDescent="0.3">
      <c r="A51" s="4">
        <f>_xlfn.XLOOKUP(E51,Orden_preguntas!$B:$B,Orden_preguntas!$A:$A)</f>
        <v>50</v>
      </c>
      <c r="B51" s="6" t="s">
        <v>548</v>
      </c>
      <c r="C51" s="8">
        <v>1</v>
      </c>
      <c r="D51" s="6" t="s">
        <v>598</v>
      </c>
      <c r="E51" s="17" t="s">
        <v>1064</v>
      </c>
    </row>
    <row r="52" spans="1:5" ht="15.75" thickBot="1" x14ac:dyDescent="0.3">
      <c r="E52" s="17"/>
    </row>
    <row r="53" spans="1:5" ht="15.75" thickBot="1" x14ac:dyDescent="0.3">
      <c r="E53" s="17"/>
    </row>
    <row r="54" spans="1:5" ht="15.75" thickBot="1" x14ac:dyDescent="0.3">
      <c r="E54" s="17"/>
    </row>
    <row r="55" spans="1:5" ht="15.75" thickBot="1" x14ac:dyDescent="0.3">
      <c r="E55" s="17"/>
    </row>
    <row r="56" spans="1:5" ht="15.75" thickBot="1" x14ac:dyDescent="0.3">
      <c r="E56" s="17"/>
    </row>
    <row r="57" spans="1:5" ht="15.75" thickBot="1" x14ac:dyDescent="0.3">
      <c r="E57" s="17"/>
    </row>
    <row r="58" spans="1:5" ht="15.75" thickBot="1" x14ac:dyDescent="0.3">
      <c r="E58" s="17"/>
    </row>
    <row r="59" spans="1:5" ht="15.75" thickBot="1" x14ac:dyDescent="0.3">
      <c r="E59" s="17"/>
    </row>
    <row r="60" spans="1:5" ht="15.75" thickBot="1" x14ac:dyDescent="0.3">
      <c r="E60" s="17"/>
    </row>
    <row r="61" spans="1:5" ht="15.75" thickBot="1" x14ac:dyDescent="0.3">
      <c r="E61" s="17"/>
    </row>
    <row r="62" spans="1:5" ht="15.75" thickBot="1" x14ac:dyDescent="0.3">
      <c r="E62" s="17"/>
    </row>
    <row r="63" spans="1:5" ht="15.75" thickBot="1" x14ac:dyDescent="0.3">
      <c r="E63" s="17"/>
    </row>
    <row r="64" spans="1:5" ht="15.75" thickBot="1" x14ac:dyDescent="0.3">
      <c r="E64" s="17"/>
    </row>
    <row r="65" spans="5:5" ht="15.75" thickBot="1" x14ac:dyDescent="0.3">
      <c r="E65" s="17"/>
    </row>
    <row r="66" spans="5:5" ht="15.75" thickBot="1" x14ac:dyDescent="0.3">
      <c r="E66" s="17"/>
    </row>
    <row r="67" spans="5:5" ht="15.75" thickBot="1" x14ac:dyDescent="0.3">
      <c r="E67" s="17"/>
    </row>
    <row r="68" spans="5:5" ht="15.75" thickBot="1" x14ac:dyDescent="0.3">
      <c r="E68" s="17"/>
    </row>
    <row r="69" spans="5:5" ht="15.75" thickBot="1" x14ac:dyDescent="0.3">
      <c r="E69" s="17"/>
    </row>
    <row r="70" spans="5:5" ht="15.75" thickBot="1" x14ac:dyDescent="0.3">
      <c r="E70" s="17"/>
    </row>
    <row r="71" spans="5:5" ht="15.75" thickBot="1" x14ac:dyDescent="0.3">
      <c r="E71" s="17"/>
    </row>
    <row r="72" spans="5:5" ht="15.75" thickBot="1" x14ac:dyDescent="0.3">
      <c r="E72" s="17"/>
    </row>
    <row r="73" spans="5:5" ht="15.75" thickBot="1" x14ac:dyDescent="0.3">
      <c r="E73" s="17"/>
    </row>
    <row r="74" spans="5:5" ht="15.75" thickBot="1" x14ac:dyDescent="0.3">
      <c r="E74" s="17"/>
    </row>
    <row r="75" spans="5:5" ht="15.75" thickBot="1" x14ac:dyDescent="0.3">
      <c r="E75" s="17"/>
    </row>
    <row r="76" spans="5:5" ht="15.75" thickBot="1" x14ac:dyDescent="0.3">
      <c r="E76" s="17"/>
    </row>
    <row r="77" spans="5:5" ht="15.75" thickBot="1" x14ac:dyDescent="0.3">
      <c r="E77" s="17"/>
    </row>
    <row r="78" spans="5:5" ht="15.75" thickBot="1" x14ac:dyDescent="0.3">
      <c r="E78" s="17"/>
    </row>
    <row r="79" spans="5:5" ht="15.75" thickBot="1" x14ac:dyDescent="0.3">
      <c r="E79" s="17"/>
    </row>
    <row r="80" spans="5:5" ht="15.75" thickBot="1" x14ac:dyDescent="0.3">
      <c r="E80" s="17"/>
    </row>
    <row r="81" spans="5:5" ht="15.75" thickBot="1" x14ac:dyDescent="0.3">
      <c r="E81" s="17"/>
    </row>
    <row r="82" spans="5:5" ht="15.75" thickBot="1" x14ac:dyDescent="0.3">
      <c r="E82" s="17"/>
    </row>
    <row r="83" spans="5:5" ht="15.75" thickBot="1" x14ac:dyDescent="0.3">
      <c r="E83" s="17"/>
    </row>
    <row r="84" spans="5:5" ht="15.75" thickBot="1" x14ac:dyDescent="0.3">
      <c r="E84" s="17"/>
    </row>
    <row r="85" spans="5:5" ht="15.75" thickBot="1" x14ac:dyDescent="0.3">
      <c r="E85" s="17"/>
    </row>
    <row r="86" spans="5:5" ht="15.75" thickBot="1" x14ac:dyDescent="0.3">
      <c r="E86" s="17"/>
    </row>
    <row r="87" spans="5:5" ht="15.75" thickBot="1" x14ac:dyDescent="0.3">
      <c r="E87" s="17"/>
    </row>
    <row r="88" spans="5:5" ht="15.75" thickBot="1" x14ac:dyDescent="0.3">
      <c r="E88" s="17"/>
    </row>
    <row r="89" spans="5:5" ht="15.75" thickBot="1" x14ac:dyDescent="0.3">
      <c r="E89" s="17"/>
    </row>
    <row r="90" spans="5:5" ht="15.75" thickBot="1" x14ac:dyDescent="0.3">
      <c r="E90" s="17"/>
    </row>
    <row r="91" spans="5:5" ht="15.75" thickBot="1" x14ac:dyDescent="0.3">
      <c r="E91" s="17"/>
    </row>
    <row r="92" spans="5:5" ht="15.75" thickBot="1" x14ac:dyDescent="0.3">
      <c r="E92" s="17"/>
    </row>
    <row r="93" spans="5:5" ht="15.75" thickBot="1" x14ac:dyDescent="0.3">
      <c r="E93" s="17"/>
    </row>
    <row r="94" spans="5:5" ht="15.75" thickBot="1" x14ac:dyDescent="0.3">
      <c r="E94" s="17"/>
    </row>
    <row r="95" spans="5:5" ht="15.75" thickBot="1" x14ac:dyDescent="0.3">
      <c r="E95" s="17"/>
    </row>
    <row r="96" spans="5:5" ht="15.75" thickBot="1" x14ac:dyDescent="0.3">
      <c r="E96" s="17"/>
    </row>
    <row r="97" spans="5:5" ht="15.75" thickBot="1" x14ac:dyDescent="0.3">
      <c r="E97" s="17"/>
    </row>
    <row r="98" spans="5:5" ht="15.75" thickBot="1" x14ac:dyDescent="0.3">
      <c r="E98" s="17"/>
    </row>
    <row r="99" spans="5:5" ht="15.75" thickBot="1" x14ac:dyDescent="0.3">
      <c r="E99" s="17"/>
    </row>
    <row r="100" spans="5:5" ht="15.75" thickBot="1" x14ac:dyDescent="0.3">
      <c r="E100" s="17"/>
    </row>
    <row r="101" spans="5:5" ht="15.75" thickBot="1" x14ac:dyDescent="0.3">
      <c r="E101" s="17"/>
    </row>
    <row r="102" spans="5:5" ht="15.75" thickBot="1" x14ac:dyDescent="0.3">
      <c r="E102" s="17"/>
    </row>
    <row r="103" spans="5:5" ht="15.75" thickBot="1" x14ac:dyDescent="0.3">
      <c r="E103" s="17"/>
    </row>
    <row r="104" spans="5:5" ht="15.75" thickBot="1" x14ac:dyDescent="0.3">
      <c r="E104" s="17"/>
    </row>
    <row r="105" spans="5:5" ht="15.75" thickBot="1" x14ac:dyDescent="0.3">
      <c r="E105" s="17"/>
    </row>
    <row r="106" spans="5:5" ht="15.75" thickBot="1" x14ac:dyDescent="0.3">
      <c r="E106" s="17"/>
    </row>
    <row r="107" spans="5:5" ht="15.75" thickBot="1" x14ac:dyDescent="0.3">
      <c r="E107" s="17"/>
    </row>
    <row r="108" spans="5:5" ht="15.75" thickBot="1" x14ac:dyDescent="0.3">
      <c r="E108" s="17"/>
    </row>
    <row r="109" spans="5:5" ht="15.75" thickBot="1" x14ac:dyDescent="0.3">
      <c r="E109" s="17"/>
    </row>
    <row r="110" spans="5:5" ht="15.75" thickBot="1" x14ac:dyDescent="0.3">
      <c r="E110" s="17"/>
    </row>
    <row r="111" spans="5:5" ht="15.75" thickBot="1" x14ac:dyDescent="0.3">
      <c r="E111" s="17"/>
    </row>
    <row r="112" spans="5:5" ht="15.75" thickBot="1" x14ac:dyDescent="0.3">
      <c r="E112" s="17"/>
    </row>
    <row r="113" spans="5:5" ht="15.75" thickBot="1" x14ac:dyDescent="0.3">
      <c r="E113" s="17"/>
    </row>
    <row r="114" spans="5:5" ht="15.75" thickBot="1" x14ac:dyDescent="0.3">
      <c r="E114" s="17"/>
    </row>
    <row r="115" spans="5:5" ht="15.75" thickBot="1" x14ac:dyDescent="0.3">
      <c r="E115" s="17"/>
    </row>
    <row r="116" spans="5:5" ht="15.75" thickBot="1" x14ac:dyDescent="0.3">
      <c r="E116" s="17"/>
    </row>
    <row r="117" spans="5:5" ht="15.75" thickBot="1" x14ac:dyDescent="0.3">
      <c r="E117" s="17"/>
    </row>
    <row r="118" spans="5:5" ht="15.75" thickBot="1" x14ac:dyDescent="0.3">
      <c r="E118" s="17"/>
    </row>
    <row r="119" spans="5:5" ht="15.75" thickBot="1" x14ac:dyDescent="0.3">
      <c r="E119" s="17"/>
    </row>
    <row r="120" spans="5:5" ht="15.75" thickBot="1" x14ac:dyDescent="0.3">
      <c r="E120" s="17"/>
    </row>
    <row r="121" spans="5:5" ht="15.75" thickBot="1" x14ac:dyDescent="0.3">
      <c r="E121" s="17"/>
    </row>
    <row r="122" spans="5:5" ht="15.75" thickBot="1" x14ac:dyDescent="0.3">
      <c r="E122" s="17"/>
    </row>
    <row r="123" spans="5:5" ht="15.75" thickBot="1" x14ac:dyDescent="0.3">
      <c r="E123" s="17"/>
    </row>
    <row r="124" spans="5:5" ht="15.75" thickBot="1" x14ac:dyDescent="0.3">
      <c r="E124" s="17"/>
    </row>
    <row r="125" spans="5:5" ht="15.75" thickBot="1" x14ac:dyDescent="0.3">
      <c r="E125" s="17"/>
    </row>
    <row r="126" spans="5:5" ht="15.75" thickBot="1" x14ac:dyDescent="0.3">
      <c r="E126" s="17"/>
    </row>
    <row r="127" spans="5:5" ht="15.75" thickBot="1" x14ac:dyDescent="0.3">
      <c r="E127" s="17"/>
    </row>
    <row r="128" spans="5:5" ht="15.75" thickBot="1" x14ac:dyDescent="0.3">
      <c r="E128" s="17"/>
    </row>
    <row r="129" spans="5:5" ht="15.75" thickBot="1" x14ac:dyDescent="0.3">
      <c r="E129" s="17"/>
    </row>
    <row r="130" spans="5:5" ht="15.75" thickBot="1" x14ac:dyDescent="0.3">
      <c r="E130" s="17"/>
    </row>
    <row r="131" spans="5:5" ht="15.75" thickBot="1" x14ac:dyDescent="0.3">
      <c r="E131" s="17"/>
    </row>
    <row r="132" spans="5:5" ht="15.75" thickBot="1" x14ac:dyDescent="0.3">
      <c r="E132" s="17"/>
    </row>
    <row r="133" spans="5:5" ht="15.75" thickBot="1" x14ac:dyDescent="0.3">
      <c r="E133" s="17"/>
    </row>
    <row r="134" spans="5:5" ht="15.75" thickBot="1" x14ac:dyDescent="0.3">
      <c r="E134" s="17"/>
    </row>
    <row r="135" spans="5:5" ht="15.75" thickBot="1" x14ac:dyDescent="0.3">
      <c r="E135" s="17"/>
    </row>
    <row r="136" spans="5:5" ht="15.75" thickBot="1" x14ac:dyDescent="0.3">
      <c r="E136" s="17"/>
    </row>
    <row r="137" spans="5:5" ht="15.75" thickBot="1" x14ac:dyDescent="0.3">
      <c r="E137" s="17"/>
    </row>
    <row r="138" spans="5:5" ht="15.75" thickBot="1" x14ac:dyDescent="0.3">
      <c r="E138" s="17"/>
    </row>
    <row r="139" spans="5:5" ht="15.75" thickBot="1" x14ac:dyDescent="0.3">
      <c r="E139" s="17"/>
    </row>
    <row r="140" spans="5:5" ht="15.75" thickBot="1" x14ac:dyDescent="0.3">
      <c r="E140" s="17"/>
    </row>
    <row r="141" spans="5:5" ht="15.75" thickBot="1" x14ac:dyDescent="0.3">
      <c r="E141" s="17"/>
    </row>
    <row r="142" spans="5:5" ht="15.75" thickBot="1" x14ac:dyDescent="0.3">
      <c r="E142" s="17"/>
    </row>
    <row r="143" spans="5:5" ht="15.75" thickBot="1" x14ac:dyDescent="0.3">
      <c r="E143" s="17"/>
    </row>
    <row r="144" spans="5:5" ht="15.75" thickBot="1" x14ac:dyDescent="0.3">
      <c r="E144" s="17"/>
    </row>
    <row r="145" spans="5:5" ht="15.75" thickBot="1" x14ac:dyDescent="0.3">
      <c r="E145" s="17"/>
    </row>
    <row r="146" spans="5:5" ht="15.75" thickBot="1" x14ac:dyDescent="0.3">
      <c r="E146" s="17"/>
    </row>
    <row r="147" spans="5:5" ht="15.75" thickBot="1" x14ac:dyDescent="0.3">
      <c r="E147" s="17"/>
    </row>
    <row r="148" spans="5:5" ht="15.75" thickBot="1" x14ac:dyDescent="0.3">
      <c r="E148" s="17"/>
    </row>
    <row r="149" spans="5:5" ht="15.75" thickBot="1" x14ac:dyDescent="0.3">
      <c r="E149" s="17"/>
    </row>
    <row r="150" spans="5:5" ht="15.75" thickBot="1" x14ac:dyDescent="0.3">
      <c r="E150" s="17"/>
    </row>
    <row r="151" spans="5:5" ht="15.75" thickBot="1" x14ac:dyDescent="0.3">
      <c r="E151" s="17"/>
    </row>
    <row r="152" spans="5:5" ht="15.75" thickBot="1" x14ac:dyDescent="0.3">
      <c r="E152" s="17"/>
    </row>
    <row r="153" spans="5:5" ht="15.75" thickBot="1" x14ac:dyDescent="0.3">
      <c r="E153" s="17"/>
    </row>
    <row r="154" spans="5:5" ht="15.75" thickBot="1" x14ac:dyDescent="0.3">
      <c r="E154" s="17"/>
    </row>
    <row r="155" spans="5:5" ht="15.75" thickBot="1" x14ac:dyDescent="0.3">
      <c r="E155" s="17"/>
    </row>
    <row r="156" spans="5:5" ht="15.75" thickBot="1" x14ac:dyDescent="0.3">
      <c r="E156" s="17"/>
    </row>
    <row r="157" spans="5:5" ht="15.75" thickBot="1" x14ac:dyDescent="0.3">
      <c r="E157" s="17"/>
    </row>
    <row r="158" spans="5:5" ht="15.75" thickBot="1" x14ac:dyDescent="0.3">
      <c r="E158" s="17"/>
    </row>
    <row r="159" spans="5:5" ht="15.75" thickBot="1" x14ac:dyDescent="0.3">
      <c r="E159" s="17"/>
    </row>
    <row r="160" spans="5:5" ht="15.75" thickBot="1" x14ac:dyDescent="0.3">
      <c r="E160" s="17"/>
    </row>
    <row r="161" spans="5:5" ht="15.75" thickBot="1" x14ac:dyDescent="0.3">
      <c r="E161" s="17"/>
    </row>
    <row r="162" spans="5:5" ht="15.75" thickBot="1" x14ac:dyDescent="0.3">
      <c r="E162" s="17"/>
    </row>
    <row r="163" spans="5:5" ht="15.75" thickBot="1" x14ac:dyDescent="0.3">
      <c r="E163" s="17"/>
    </row>
    <row r="164" spans="5:5" ht="15.75" thickBot="1" x14ac:dyDescent="0.3">
      <c r="E164" s="17"/>
    </row>
    <row r="165" spans="5:5" ht="15.75" thickBot="1" x14ac:dyDescent="0.3">
      <c r="E165" s="17"/>
    </row>
    <row r="166" spans="5:5" ht="15.75" thickBot="1" x14ac:dyDescent="0.3">
      <c r="E166" s="17"/>
    </row>
    <row r="167" spans="5:5" ht="15.75" thickBot="1" x14ac:dyDescent="0.3">
      <c r="E167" s="17"/>
    </row>
    <row r="168" spans="5:5" ht="15.75" thickBot="1" x14ac:dyDescent="0.3">
      <c r="E168" s="17"/>
    </row>
    <row r="169" spans="5:5" ht="15.75" thickBot="1" x14ac:dyDescent="0.3">
      <c r="E169" s="17"/>
    </row>
    <row r="170" spans="5:5" ht="15.75" thickBot="1" x14ac:dyDescent="0.3">
      <c r="E170" s="17"/>
    </row>
    <row r="171" spans="5:5" ht="15.75" thickBot="1" x14ac:dyDescent="0.3">
      <c r="E171" s="17"/>
    </row>
    <row r="172" spans="5:5" ht="15.75" thickBot="1" x14ac:dyDescent="0.3">
      <c r="E172" s="17"/>
    </row>
    <row r="173" spans="5:5" ht="15.75" thickBot="1" x14ac:dyDescent="0.3">
      <c r="E173" s="17"/>
    </row>
    <row r="174" spans="5:5" ht="15.75" thickBot="1" x14ac:dyDescent="0.3">
      <c r="E174" s="17"/>
    </row>
    <row r="175" spans="5:5" ht="15.75" thickBot="1" x14ac:dyDescent="0.3">
      <c r="E175" s="17"/>
    </row>
    <row r="176" spans="5:5" ht="15.75" thickBot="1" x14ac:dyDescent="0.3">
      <c r="E176" s="17"/>
    </row>
    <row r="177" spans="5:5" ht="15.75" thickBot="1" x14ac:dyDescent="0.3">
      <c r="E177" s="17"/>
    </row>
    <row r="178" spans="5:5" ht="15.75" thickBot="1" x14ac:dyDescent="0.3">
      <c r="E178" s="17"/>
    </row>
    <row r="179" spans="5:5" ht="15.75" thickBot="1" x14ac:dyDescent="0.3">
      <c r="E179" s="17"/>
    </row>
    <row r="180" spans="5:5" ht="15.75" thickBot="1" x14ac:dyDescent="0.3">
      <c r="E180" s="17"/>
    </row>
    <row r="181" spans="5:5" ht="15.75" thickBot="1" x14ac:dyDescent="0.3">
      <c r="E181" s="17"/>
    </row>
    <row r="182" spans="5:5" ht="15.75" thickBot="1" x14ac:dyDescent="0.3">
      <c r="E182" s="17"/>
    </row>
    <row r="183" spans="5:5" ht="15.75" thickBot="1" x14ac:dyDescent="0.3">
      <c r="E183" s="17"/>
    </row>
    <row r="184" spans="5:5" ht="15.75" thickBot="1" x14ac:dyDescent="0.3">
      <c r="E184" s="17"/>
    </row>
    <row r="185" spans="5:5" ht="15.75" thickBot="1" x14ac:dyDescent="0.3">
      <c r="E185" s="17"/>
    </row>
    <row r="186" spans="5:5" ht="15.75" thickBot="1" x14ac:dyDescent="0.3">
      <c r="E186" s="17"/>
    </row>
    <row r="187" spans="5:5" ht="15.75" thickBot="1" x14ac:dyDescent="0.3">
      <c r="E187" s="17"/>
    </row>
    <row r="188" spans="5:5" ht="15.75" thickBot="1" x14ac:dyDescent="0.3">
      <c r="E188" s="17"/>
    </row>
    <row r="189" spans="5:5" ht="15.75" thickBot="1" x14ac:dyDescent="0.3">
      <c r="E189" s="17"/>
    </row>
    <row r="190" spans="5:5" ht="15.75" thickBot="1" x14ac:dyDescent="0.3">
      <c r="E190" s="17"/>
    </row>
    <row r="191" spans="5:5" ht="15.75" thickBot="1" x14ac:dyDescent="0.3">
      <c r="E191" s="17"/>
    </row>
    <row r="192" spans="5:5" ht="15.75" thickBot="1" x14ac:dyDescent="0.3">
      <c r="E192" s="17"/>
    </row>
    <row r="193" spans="5:5" ht="15.75" thickBot="1" x14ac:dyDescent="0.3">
      <c r="E193" s="17"/>
    </row>
    <row r="194" spans="5:5" ht="15.75" thickBot="1" x14ac:dyDescent="0.3">
      <c r="E194" s="17"/>
    </row>
    <row r="195" spans="5:5" ht="15.75" thickBot="1" x14ac:dyDescent="0.3">
      <c r="E195" s="17"/>
    </row>
    <row r="196" spans="5:5" ht="15.75" thickBot="1" x14ac:dyDescent="0.3">
      <c r="E196" s="17"/>
    </row>
    <row r="197" spans="5:5" ht="15.75" thickBot="1" x14ac:dyDescent="0.3">
      <c r="E197" s="17"/>
    </row>
    <row r="198" spans="5:5" ht="15.75" thickBot="1" x14ac:dyDescent="0.3">
      <c r="E198" s="17"/>
    </row>
    <row r="199" spans="5:5" ht="15.75" thickBot="1" x14ac:dyDescent="0.3">
      <c r="E199" s="17"/>
    </row>
    <row r="200" spans="5:5" ht="15.75" thickBot="1" x14ac:dyDescent="0.3">
      <c r="E200" s="17"/>
    </row>
    <row r="201" spans="5:5" ht="15.75" thickBot="1" x14ac:dyDescent="0.3">
      <c r="E201" s="17"/>
    </row>
    <row r="202" spans="5:5" ht="15.75" thickBot="1" x14ac:dyDescent="0.3">
      <c r="E202" s="17"/>
    </row>
    <row r="203" spans="5:5" ht="15.75" thickBot="1" x14ac:dyDescent="0.3">
      <c r="E203" s="17"/>
    </row>
    <row r="204" spans="5:5" ht="15.75" thickBot="1" x14ac:dyDescent="0.3">
      <c r="E204" s="17"/>
    </row>
    <row r="205" spans="5:5" ht="15.75" thickBot="1" x14ac:dyDescent="0.3">
      <c r="E205" s="17"/>
    </row>
    <row r="206" spans="5:5" ht="15.75" thickBot="1" x14ac:dyDescent="0.3">
      <c r="E206" s="17"/>
    </row>
    <row r="207" spans="5:5" ht="15.75" thickBot="1" x14ac:dyDescent="0.3">
      <c r="E207" s="17"/>
    </row>
    <row r="208" spans="5:5" ht="15.75" thickBot="1" x14ac:dyDescent="0.3">
      <c r="E208" s="17"/>
    </row>
    <row r="209" spans="5:5" ht="15.75" thickBot="1" x14ac:dyDescent="0.3">
      <c r="E209" s="17"/>
    </row>
    <row r="210" spans="5:5" ht="15.75" thickBot="1" x14ac:dyDescent="0.3">
      <c r="E210" s="17"/>
    </row>
    <row r="211" spans="5:5" ht="15.75" thickBot="1" x14ac:dyDescent="0.3">
      <c r="E211" s="17"/>
    </row>
    <row r="212" spans="5:5" ht="15.75" thickBot="1" x14ac:dyDescent="0.3">
      <c r="E212" s="17"/>
    </row>
    <row r="213" spans="5:5" ht="15.75" thickBot="1" x14ac:dyDescent="0.3">
      <c r="E213" s="17"/>
    </row>
    <row r="214" spans="5:5" ht="15.75" thickBot="1" x14ac:dyDescent="0.3">
      <c r="E214" s="17"/>
    </row>
    <row r="215" spans="5:5" ht="15.75" thickBot="1" x14ac:dyDescent="0.3">
      <c r="E215" s="17"/>
    </row>
    <row r="216" spans="5:5" ht="15.75" thickBot="1" x14ac:dyDescent="0.3">
      <c r="E216" s="17"/>
    </row>
    <row r="217" spans="5:5" ht="15.75" thickBot="1" x14ac:dyDescent="0.3">
      <c r="E217" s="17"/>
    </row>
    <row r="218" spans="5:5" ht="15.75" thickBot="1" x14ac:dyDescent="0.3">
      <c r="E218" s="17"/>
    </row>
    <row r="219" spans="5:5" ht="15.75" thickBot="1" x14ac:dyDescent="0.3">
      <c r="E219" s="17"/>
    </row>
    <row r="220" spans="5:5" ht="15.75" thickBot="1" x14ac:dyDescent="0.3">
      <c r="E220" s="17"/>
    </row>
    <row r="221" spans="5:5" ht="15.75" thickBot="1" x14ac:dyDescent="0.3">
      <c r="E221" s="17"/>
    </row>
    <row r="222" spans="5:5" ht="15.75" thickBot="1" x14ac:dyDescent="0.3">
      <c r="E222" s="17"/>
    </row>
    <row r="223" spans="5:5" ht="15.75" thickBot="1" x14ac:dyDescent="0.3">
      <c r="E223" s="17"/>
    </row>
    <row r="224" spans="5:5" ht="15.75" thickBot="1" x14ac:dyDescent="0.3">
      <c r="E224" s="17"/>
    </row>
    <row r="225" spans="5:5" ht="15.75" thickBot="1" x14ac:dyDescent="0.3">
      <c r="E225" s="17"/>
    </row>
    <row r="226" spans="5:5" ht="15.75" thickBot="1" x14ac:dyDescent="0.3">
      <c r="E226" s="17"/>
    </row>
    <row r="227" spans="5:5" ht="15.75" thickBot="1" x14ac:dyDescent="0.3">
      <c r="E227" s="17"/>
    </row>
    <row r="228" spans="5:5" ht="15.75" thickBot="1" x14ac:dyDescent="0.3">
      <c r="E228" s="17"/>
    </row>
    <row r="229" spans="5:5" ht="15.75" thickBot="1" x14ac:dyDescent="0.3">
      <c r="E229" s="17"/>
    </row>
    <row r="230" spans="5:5" ht="15.75" thickBot="1" x14ac:dyDescent="0.3">
      <c r="E230" s="17"/>
    </row>
    <row r="231" spans="5:5" ht="15.75" thickBot="1" x14ac:dyDescent="0.3">
      <c r="E231" s="17"/>
    </row>
    <row r="232" spans="5:5" ht="15.75" thickBot="1" x14ac:dyDescent="0.3">
      <c r="E232" s="17"/>
    </row>
    <row r="233" spans="5:5" ht="15.75" thickBot="1" x14ac:dyDescent="0.3">
      <c r="E233" s="17"/>
    </row>
    <row r="234" spans="5:5" ht="15.75" thickBot="1" x14ac:dyDescent="0.3">
      <c r="E234" s="17"/>
    </row>
    <row r="235" spans="5:5" ht="15.75" thickBot="1" x14ac:dyDescent="0.3">
      <c r="E235" s="17"/>
    </row>
    <row r="236" spans="5:5" ht="15.75" thickBot="1" x14ac:dyDescent="0.3">
      <c r="E236" s="17"/>
    </row>
    <row r="237" spans="5:5" ht="15.75" thickBot="1" x14ac:dyDescent="0.3">
      <c r="E237" s="17"/>
    </row>
    <row r="238" spans="5:5" ht="15.75" thickBot="1" x14ac:dyDescent="0.3">
      <c r="E238" s="17"/>
    </row>
    <row r="239" spans="5:5" ht="15.75" thickBot="1" x14ac:dyDescent="0.3">
      <c r="E239" s="17"/>
    </row>
    <row r="240" spans="5:5" ht="15.75" thickBot="1" x14ac:dyDescent="0.3">
      <c r="E240" s="17"/>
    </row>
    <row r="241" spans="5:5" ht="15.75" thickBot="1" x14ac:dyDescent="0.3">
      <c r="E241" s="17"/>
    </row>
    <row r="242" spans="5:5" ht="15.75" thickBot="1" x14ac:dyDescent="0.3">
      <c r="E242" s="17"/>
    </row>
    <row r="243" spans="5:5" ht="15.75" thickBot="1" x14ac:dyDescent="0.3">
      <c r="E243" s="17"/>
    </row>
    <row r="244" spans="5:5" ht="15.75" thickBot="1" x14ac:dyDescent="0.3">
      <c r="E244" s="17"/>
    </row>
    <row r="245" spans="5:5" ht="15.75" thickBot="1" x14ac:dyDescent="0.3">
      <c r="E245" s="17"/>
    </row>
    <row r="246" spans="5:5" ht="15.75" thickBot="1" x14ac:dyDescent="0.3">
      <c r="E246" s="17"/>
    </row>
    <row r="247" spans="5:5" ht="15.75" thickBot="1" x14ac:dyDescent="0.3">
      <c r="E247" s="17"/>
    </row>
    <row r="248" spans="5:5" ht="15.75" thickBot="1" x14ac:dyDescent="0.3">
      <c r="E248" s="17"/>
    </row>
    <row r="249" spans="5:5" ht="15.75" thickBot="1" x14ac:dyDescent="0.3">
      <c r="E249" s="17"/>
    </row>
    <row r="250" spans="5:5" ht="15.75" thickBot="1" x14ac:dyDescent="0.3">
      <c r="E250" s="17"/>
    </row>
    <row r="251" spans="5:5" ht="15.75" thickBot="1" x14ac:dyDescent="0.3">
      <c r="E251" s="17"/>
    </row>
    <row r="252" spans="5:5" ht="15.75" thickBot="1" x14ac:dyDescent="0.3">
      <c r="E252" s="17"/>
    </row>
    <row r="253" spans="5:5" ht="15.75" thickBot="1" x14ac:dyDescent="0.3">
      <c r="E253" s="17"/>
    </row>
    <row r="254" spans="5:5" ht="15.75" thickBot="1" x14ac:dyDescent="0.3">
      <c r="E254" s="17"/>
    </row>
    <row r="255" spans="5:5" ht="15.75" thickBot="1" x14ac:dyDescent="0.3">
      <c r="E255" s="17"/>
    </row>
    <row r="256" spans="5:5" ht="15.75" thickBot="1" x14ac:dyDescent="0.3">
      <c r="E256" s="17"/>
    </row>
    <row r="257" spans="5:5" ht="15.75" thickBot="1" x14ac:dyDescent="0.3">
      <c r="E257" s="17"/>
    </row>
    <row r="258" spans="5:5" ht="15.75" thickBot="1" x14ac:dyDescent="0.3">
      <c r="E258" s="17"/>
    </row>
    <row r="259" spans="5:5" ht="15.75" thickBot="1" x14ac:dyDescent="0.3">
      <c r="E259" s="17"/>
    </row>
    <row r="260" spans="5:5" ht="15.75" thickBot="1" x14ac:dyDescent="0.3">
      <c r="E260" s="17"/>
    </row>
    <row r="261" spans="5:5" ht="15.75" thickBot="1" x14ac:dyDescent="0.3">
      <c r="E261" s="17"/>
    </row>
    <row r="262" spans="5:5" ht="15.75" thickBot="1" x14ac:dyDescent="0.3">
      <c r="E262" s="17"/>
    </row>
    <row r="263" spans="5:5" ht="15.75" thickBot="1" x14ac:dyDescent="0.3">
      <c r="E263" s="17"/>
    </row>
    <row r="264" spans="5:5" ht="15.75" thickBot="1" x14ac:dyDescent="0.3">
      <c r="E264" s="17"/>
    </row>
    <row r="265" spans="5:5" ht="15.75" thickBot="1" x14ac:dyDescent="0.3">
      <c r="E265" s="17"/>
    </row>
    <row r="266" spans="5:5" ht="15.75" thickBot="1" x14ac:dyDescent="0.3">
      <c r="E266" s="17"/>
    </row>
    <row r="267" spans="5:5" ht="15.75" thickBot="1" x14ac:dyDescent="0.3">
      <c r="E267" s="17"/>
    </row>
    <row r="268" spans="5:5" ht="15.75" thickBot="1" x14ac:dyDescent="0.3">
      <c r="E268" s="17"/>
    </row>
    <row r="269" spans="5:5" ht="15.75" thickBot="1" x14ac:dyDescent="0.3">
      <c r="E269" s="17"/>
    </row>
    <row r="270" spans="5:5" ht="15.75" thickBot="1" x14ac:dyDescent="0.3">
      <c r="E270" s="17"/>
    </row>
    <row r="271" spans="5:5" ht="15.75" thickBot="1" x14ac:dyDescent="0.3">
      <c r="E271" s="17"/>
    </row>
    <row r="272" spans="5:5" ht="15.75" thickBot="1" x14ac:dyDescent="0.3">
      <c r="E272" s="17"/>
    </row>
    <row r="273" spans="5:5" ht="15.75" thickBot="1" x14ac:dyDescent="0.3">
      <c r="E273" s="17"/>
    </row>
    <row r="274" spans="5:5" ht="15.75" thickBot="1" x14ac:dyDescent="0.3">
      <c r="E274" s="17"/>
    </row>
    <row r="275" spans="5:5" ht="15.75" thickBot="1" x14ac:dyDescent="0.3">
      <c r="E275" s="17"/>
    </row>
    <row r="276" spans="5:5" ht="15.75" thickBot="1" x14ac:dyDescent="0.3">
      <c r="E276" s="17"/>
    </row>
    <row r="277" spans="5:5" ht="15.75" thickBot="1" x14ac:dyDescent="0.3">
      <c r="E277" s="17"/>
    </row>
    <row r="278" spans="5:5" ht="15.75" thickBot="1" x14ac:dyDescent="0.3">
      <c r="E278" s="17"/>
    </row>
    <row r="279" spans="5:5" ht="15.75" thickBot="1" x14ac:dyDescent="0.3">
      <c r="E279" s="17"/>
    </row>
    <row r="280" spans="5:5" ht="15.75" thickBot="1" x14ac:dyDescent="0.3">
      <c r="E280" s="17"/>
    </row>
    <row r="281" spans="5:5" ht="15.75" thickBot="1" x14ac:dyDescent="0.3">
      <c r="E281" s="17"/>
    </row>
    <row r="282" spans="5:5" ht="15.75" thickBot="1" x14ac:dyDescent="0.3">
      <c r="E282" s="17"/>
    </row>
    <row r="283" spans="5:5" ht="15.75" thickBot="1" x14ac:dyDescent="0.3">
      <c r="E283" s="17"/>
    </row>
    <row r="284" spans="5:5" ht="15.75" thickBot="1" x14ac:dyDescent="0.3">
      <c r="E284" s="17"/>
    </row>
    <row r="285" spans="5:5" ht="15.75" thickBot="1" x14ac:dyDescent="0.3">
      <c r="E285" s="17"/>
    </row>
    <row r="286" spans="5:5" ht="15.75" thickBot="1" x14ac:dyDescent="0.3">
      <c r="E286" s="17"/>
    </row>
    <row r="287" spans="5:5" ht="15.75" thickBot="1" x14ac:dyDescent="0.3">
      <c r="E287" s="17"/>
    </row>
    <row r="288" spans="5:5" ht="15.75" thickBot="1" x14ac:dyDescent="0.3">
      <c r="E288" s="17"/>
    </row>
    <row r="289" spans="5:5" ht="15.75" thickBot="1" x14ac:dyDescent="0.3">
      <c r="E289" s="17"/>
    </row>
    <row r="290" spans="5:5" ht="15.75" thickBot="1" x14ac:dyDescent="0.3">
      <c r="E290" s="17"/>
    </row>
    <row r="291" spans="5:5" ht="15.75" thickBot="1" x14ac:dyDescent="0.3">
      <c r="E291" s="17"/>
    </row>
    <row r="292" spans="5:5" ht="15.75" thickBot="1" x14ac:dyDescent="0.3">
      <c r="E292" s="17"/>
    </row>
    <row r="293" spans="5:5" ht="15.75" thickBot="1" x14ac:dyDescent="0.3">
      <c r="E293" s="17"/>
    </row>
    <row r="294" spans="5:5" ht="15.75" thickBot="1" x14ac:dyDescent="0.3">
      <c r="E294" s="17"/>
    </row>
    <row r="295" spans="5:5" ht="15.75" thickBot="1" x14ac:dyDescent="0.3">
      <c r="E295" s="17"/>
    </row>
    <row r="296" spans="5:5" ht="15.75" thickBot="1" x14ac:dyDescent="0.3">
      <c r="E296" s="17"/>
    </row>
    <row r="297" spans="5:5" ht="15.75" thickBot="1" x14ac:dyDescent="0.3">
      <c r="E297" s="17"/>
    </row>
    <row r="298" spans="5:5" ht="15.75" thickBot="1" x14ac:dyDescent="0.3">
      <c r="E298" s="17"/>
    </row>
    <row r="299" spans="5:5" ht="15.75" thickBot="1" x14ac:dyDescent="0.3">
      <c r="E299" s="17"/>
    </row>
    <row r="300" spans="5:5" ht="15.75" thickBot="1" x14ac:dyDescent="0.3">
      <c r="E300" s="17"/>
    </row>
    <row r="301" spans="5:5" ht="15.75" thickBot="1" x14ac:dyDescent="0.3">
      <c r="E301" s="17"/>
    </row>
    <row r="302" spans="5:5" ht="15.75" thickBot="1" x14ac:dyDescent="0.3">
      <c r="E302" s="17"/>
    </row>
    <row r="303" spans="5:5" ht="15.75" thickBot="1" x14ac:dyDescent="0.3">
      <c r="E303" s="17"/>
    </row>
    <row r="304" spans="5:5" ht="15.75" thickBot="1" x14ac:dyDescent="0.3">
      <c r="E304" s="17"/>
    </row>
    <row r="305" spans="5:5" ht="15.75" thickBot="1" x14ac:dyDescent="0.3">
      <c r="E305" s="17"/>
    </row>
    <row r="306" spans="5:5" ht="15.75" thickBot="1" x14ac:dyDescent="0.3">
      <c r="E306" s="17"/>
    </row>
    <row r="307" spans="5:5" ht="15.75" thickBot="1" x14ac:dyDescent="0.3">
      <c r="E307" s="17"/>
    </row>
    <row r="308" spans="5:5" ht="15.75" thickBot="1" x14ac:dyDescent="0.3">
      <c r="E308" s="17"/>
    </row>
    <row r="309" spans="5:5" ht="15.75" thickBot="1" x14ac:dyDescent="0.3">
      <c r="E309" s="17"/>
    </row>
    <row r="310" spans="5:5" ht="15.75" thickBot="1" x14ac:dyDescent="0.3">
      <c r="E310" s="17"/>
    </row>
    <row r="311" spans="5:5" ht="15.75" thickBot="1" x14ac:dyDescent="0.3">
      <c r="E311" s="17"/>
    </row>
    <row r="312" spans="5:5" ht="15.75" thickBot="1" x14ac:dyDescent="0.3">
      <c r="E312" s="17"/>
    </row>
    <row r="313" spans="5:5" ht="15.75" thickBot="1" x14ac:dyDescent="0.3">
      <c r="E313" s="17"/>
    </row>
    <row r="314" spans="5:5" ht="15.75" thickBot="1" x14ac:dyDescent="0.3">
      <c r="E314" s="17"/>
    </row>
    <row r="315" spans="5:5" ht="15.75" thickBot="1" x14ac:dyDescent="0.3">
      <c r="E315" s="17"/>
    </row>
    <row r="316" spans="5:5" ht="15.75" thickBot="1" x14ac:dyDescent="0.3">
      <c r="E316" s="17"/>
    </row>
    <row r="317" spans="5:5" ht="15.75" thickBot="1" x14ac:dyDescent="0.3">
      <c r="E317" s="17"/>
    </row>
    <row r="318" spans="5:5" ht="15.75" thickBot="1" x14ac:dyDescent="0.3">
      <c r="E318" s="17"/>
    </row>
    <row r="319" spans="5:5" ht="15.75" thickBot="1" x14ac:dyDescent="0.3">
      <c r="E319" s="17"/>
    </row>
    <row r="320" spans="5:5" ht="15.75" thickBot="1" x14ac:dyDescent="0.3">
      <c r="E320" s="17"/>
    </row>
    <row r="321" spans="5:5" ht="15.75" thickBot="1" x14ac:dyDescent="0.3">
      <c r="E321" s="17"/>
    </row>
    <row r="322" spans="5:5" ht="15.75" thickBot="1" x14ac:dyDescent="0.3">
      <c r="E322" s="17"/>
    </row>
    <row r="323" spans="5:5" ht="15.75" thickBot="1" x14ac:dyDescent="0.3">
      <c r="E323" s="17"/>
    </row>
    <row r="324" spans="5:5" ht="15.75" thickBot="1" x14ac:dyDescent="0.3">
      <c r="E324" s="17"/>
    </row>
    <row r="325" spans="5:5" ht="15.75" thickBot="1" x14ac:dyDescent="0.3">
      <c r="E325" s="17"/>
    </row>
    <row r="326" spans="5:5" ht="15.75" thickBot="1" x14ac:dyDescent="0.3">
      <c r="E326" s="17"/>
    </row>
    <row r="327" spans="5:5" ht="15.75" thickBot="1" x14ac:dyDescent="0.3">
      <c r="E327" s="17"/>
    </row>
    <row r="328" spans="5:5" ht="15.75" thickBot="1" x14ac:dyDescent="0.3">
      <c r="E328" s="17"/>
    </row>
    <row r="329" spans="5:5" ht="15.75" thickBot="1" x14ac:dyDescent="0.3">
      <c r="E329" s="17"/>
    </row>
    <row r="330" spans="5:5" ht="15.75" thickBot="1" x14ac:dyDescent="0.3">
      <c r="E330" s="17"/>
    </row>
    <row r="331" spans="5:5" ht="15.75" thickBot="1" x14ac:dyDescent="0.3">
      <c r="E331" s="17"/>
    </row>
    <row r="332" spans="5:5" ht="15.75" thickBot="1" x14ac:dyDescent="0.3">
      <c r="E332" s="17"/>
    </row>
    <row r="333" spans="5:5" ht="15.75" thickBot="1" x14ac:dyDescent="0.3">
      <c r="E333" s="17"/>
    </row>
    <row r="334" spans="5:5" ht="15.75" thickBot="1" x14ac:dyDescent="0.3">
      <c r="E334" s="17"/>
    </row>
    <row r="335" spans="5:5" ht="15.75" thickBot="1" x14ac:dyDescent="0.3">
      <c r="E335" s="17"/>
    </row>
    <row r="336" spans="5:5" ht="15.75" thickBot="1" x14ac:dyDescent="0.3">
      <c r="E336" s="17"/>
    </row>
    <row r="337" spans="5:5" ht="15.75" thickBot="1" x14ac:dyDescent="0.3">
      <c r="E337" s="17"/>
    </row>
    <row r="338" spans="5:5" ht="15.75" thickBot="1" x14ac:dyDescent="0.3">
      <c r="E338" s="17"/>
    </row>
    <row r="339" spans="5:5" ht="15.75" thickBot="1" x14ac:dyDescent="0.3">
      <c r="E339" s="17"/>
    </row>
    <row r="340" spans="5:5" ht="15.75" thickBot="1" x14ac:dyDescent="0.3">
      <c r="E340" s="17"/>
    </row>
    <row r="341" spans="5:5" ht="15.75" thickBot="1" x14ac:dyDescent="0.3">
      <c r="E341" s="17"/>
    </row>
    <row r="342" spans="5:5" ht="15.75" thickBot="1" x14ac:dyDescent="0.3">
      <c r="E342" s="17"/>
    </row>
    <row r="343" spans="5:5" ht="15.75" thickBot="1" x14ac:dyDescent="0.3">
      <c r="E343" s="17"/>
    </row>
    <row r="344" spans="5:5" ht="15.75" thickBot="1" x14ac:dyDescent="0.3">
      <c r="E344" s="17"/>
    </row>
    <row r="345" spans="5:5" ht="15.75" thickBot="1" x14ac:dyDescent="0.3">
      <c r="E345" s="17"/>
    </row>
    <row r="346" spans="5:5" ht="15.75" thickBot="1" x14ac:dyDescent="0.3">
      <c r="E346" s="17"/>
    </row>
    <row r="347" spans="5:5" ht="15.75" thickBot="1" x14ac:dyDescent="0.3">
      <c r="E347" s="17"/>
    </row>
    <row r="348" spans="5:5" ht="15.75" thickBot="1" x14ac:dyDescent="0.3">
      <c r="E348" s="17"/>
    </row>
    <row r="349" spans="5:5" ht="15.75" thickBot="1" x14ac:dyDescent="0.3">
      <c r="E349" s="17"/>
    </row>
    <row r="350" spans="5:5" ht="15.75" thickBot="1" x14ac:dyDescent="0.3">
      <c r="E350" s="17"/>
    </row>
    <row r="351" spans="5:5" ht="15.75" thickBot="1" x14ac:dyDescent="0.3">
      <c r="E351" s="17"/>
    </row>
    <row r="352" spans="5:5" ht="15.75" thickBot="1" x14ac:dyDescent="0.3">
      <c r="E352" s="17"/>
    </row>
    <row r="353" spans="5:5" ht="15.75" thickBot="1" x14ac:dyDescent="0.3">
      <c r="E353" s="17"/>
    </row>
    <row r="354" spans="5:5" ht="15.75" thickBot="1" x14ac:dyDescent="0.3">
      <c r="E354" s="17"/>
    </row>
    <row r="355" spans="5:5" ht="15.75" thickBot="1" x14ac:dyDescent="0.3">
      <c r="E355" s="17"/>
    </row>
    <row r="356" spans="5:5" ht="15.75" thickBot="1" x14ac:dyDescent="0.3">
      <c r="E356" s="17"/>
    </row>
    <row r="357" spans="5:5" ht="15.75" thickBot="1" x14ac:dyDescent="0.3">
      <c r="E357" s="17"/>
    </row>
    <row r="358" spans="5:5" ht="15.75" thickBot="1" x14ac:dyDescent="0.3">
      <c r="E358" s="17"/>
    </row>
    <row r="359" spans="5:5" ht="15.75" thickBot="1" x14ac:dyDescent="0.3">
      <c r="E359" s="17"/>
    </row>
    <row r="360" spans="5:5" ht="15.75" thickBot="1" x14ac:dyDescent="0.3">
      <c r="E360" s="17"/>
    </row>
    <row r="361" spans="5:5" ht="15.75" thickBot="1" x14ac:dyDescent="0.3">
      <c r="E361" s="17"/>
    </row>
    <row r="362" spans="5:5" ht="15.75" thickBot="1" x14ac:dyDescent="0.3">
      <c r="E362" s="17"/>
    </row>
    <row r="363" spans="5:5" ht="15.75" thickBot="1" x14ac:dyDescent="0.3">
      <c r="E363" s="17"/>
    </row>
    <row r="364" spans="5:5" ht="15.75" thickBot="1" x14ac:dyDescent="0.3">
      <c r="E364" s="17"/>
    </row>
    <row r="365" spans="5:5" ht="15.75" thickBot="1" x14ac:dyDescent="0.3">
      <c r="E365" s="17"/>
    </row>
    <row r="366" spans="5:5" ht="15.75" thickBot="1" x14ac:dyDescent="0.3">
      <c r="E366" s="17"/>
    </row>
    <row r="367" spans="5:5" ht="15.75" thickBot="1" x14ac:dyDescent="0.3">
      <c r="E367" s="17"/>
    </row>
    <row r="368" spans="5:5" ht="15.75" thickBot="1" x14ac:dyDescent="0.3">
      <c r="E368" s="17"/>
    </row>
    <row r="369" spans="5:5" ht="15.75" thickBot="1" x14ac:dyDescent="0.3">
      <c r="E369" s="17"/>
    </row>
    <row r="370" spans="5:5" ht="15.75" thickBot="1" x14ac:dyDescent="0.3">
      <c r="E370" s="17"/>
    </row>
    <row r="371" spans="5:5" ht="15.75" thickBot="1" x14ac:dyDescent="0.3">
      <c r="E371" s="17"/>
    </row>
    <row r="372" spans="5:5" ht="15.75" thickBot="1" x14ac:dyDescent="0.3">
      <c r="E372" s="17"/>
    </row>
    <row r="373" spans="5:5" ht="15.75" thickBot="1" x14ac:dyDescent="0.3">
      <c r="E373" s="17"/>
    </row>
    <row r="374" spans="5:5" ht="15.75" thickBot="1" x14ac:dyDescent="0.3">
      <c r="E374" s="17"/>
    </row>
    <row r="375" spans="5:5" ht="15.75" thickBot="1" x14ac:dyDescent="0.3">
      <c r="E375" s="17"/>
    </row>
    <row r="376" spans="5:5" ht="15.75" thickBot="1" x14ac:dyDescent="0.3">
      <c r="E376" s="17"/>
    </row>
    <row r="377" spans="5:5" ht="15.75" thickBot="1" x14ac:dyDescent="0.3">
      <c r="E377" s="17"/>
    </row>
    <row r="378" spans="5:5" ht="15.75" thickBot="1" x14ac:dyDescent="0.3">
      <c r="E378" s="17"/>
    </row>
    <row r="379" spans="5:5" ht="15.75" thickBot="1" x14ac:dyDescent="0.3">
      <c r="E379" s="17"/>
    </row>
    <row r="380" spans="5:5" ht="15.75" thickBot="1" x14ac:dyDescent="0.3">
      <c r="E380" s="17"/>
    </row>
    <row r="381" spans="5:5" ht="15.75" thickBot="1" x14ac:dyDescent="0.3">
      <c r="E381" s="17"/>
    </row>
    <row r="382" spans="5:5" ht="15.75" thickBot="1" x14ac:dyDescent="0.3">
      <c r="E382" s="17"/>
    </row>
    <row r="383" spans="5:5" ht="15.75" thickBot="1" x14ac:dyDescent="0.3">
      <c r="E383" s="17"/>
    </row>
    <row r="384" spans="5:5" ht="15.75" thickBot="1" x14ac:dyDescent="0.3">
      <c r="E384" s="17"/>
    </row>
    <row r="385" spans="5:5" ht="15.75" thickBot="1" x14ac:dyDescent="0.3">
      <c r="E385" s="17"/>
    </row>
    <row r="386" spans="5:5" ht="15.75" thickBot="1" x14ac:dyDescent="0.3">
      <c r="E386" s="17"/>
    </row>
    <row r="387" spans="5:5" ht="15.75" thickBot="1" x14ac:dyDescent="0.3">
      <c r="E387" s="17"/>
    </row>
    <row r="388" spans="5:5" ht="15.75" thickBot="1" x14ac:dyDescent="0.3">
      <c r="E388" s="17"/>
    </row>
    <row r="389" spans="5:5" ht="15.75" thickBot="1" x14ac:dyDescent="0.3">
      <c r="E389" s="17"/>
    </row>
    <row r="390" spans="5:5" ht="15.75" thickBot="1" x14ac:dyDescent="0.3">
      <c r="E390" s="17"/>
    </row>
    <row r="391" spans="5:5" ht="15.75" thickBot="1" x14ac:dyDescent="0.3">
      <c r="E391" s="17"/>
    </row>
    <row r="392" spans="5:5" ht="15.75" thickBot="1" x14ac:dyDescent="0.3">
      <c r="E392" s="17"/>
    </row>
    <row r="393" spans="5:5" ht="15.75" thickBot="1" x14ac:dyDescent="0.3">
      <c r="E393" s="17"/>
    </row>
    <row r="394" spans="5:5" ht="15.75" thickBot="1" x14ac:dyDescent="0.3">
      <c r="E394" s="17"/>
    </row>
    <row r="395" spans="5:5" ht="15.75" thickBot="1" x14ac:dyDescent="0.3">
      <c r="E395" s="17"/>
    </row>
    <row r="396" spans="5:5" ht="15.75" thickBot="1" x14ac:dyDescent="0.3">
      <c r="E396" s="17"/>
    </row>
    <row r="397" spans="5:5" ht="15.75" thickBot="1" x14ac:dyDescent="0.3">
      <c r="E397" s="17"/>
    </row>
    <row r="398" spans="5:5" ht="15.75" thickBot="1" x14ac:dyDescent="0.3">
      <c r="E398" s="17"/>
    </row>
    <row r="399" spans="5:5" ht="15.75" thickBot="1" x14ac:dyDescent="0.3">
      <c r="E399" s="17"/>
    </row>
    <row r="400" spans="5:5" ht="15.75" thickBot="1" x14ac:dyDescent="0.3">
      <c r="E400" s="17"/>
    </row>
    <row r="401" spans="5:5" ht="15.75" thickBot="1" x14ac:dyDescent="0.3">
      <c r="E401" s="17"/>
    </row>
    <row r="402" spans="5:5" ht="15.75" thickBot="1" x14ac:dyDescent="0.3">
      <c r="E402" s="17"/>
    </row>
    <row r="403" spans="5:5" ht="15.75" thickBot="1" x14ac:dyDescent="0.3">
      <c r="E403" s="17"/>
    </row>
    <row r="404" spans="5:5" ht="15.75" thickBot="1" x14ac:dyDescent="0.3">
      <c r="E404" s="17"/>
    </row>
    <row r="405" spans="5:5" ht="15.75" thickBot="1" x14ac:dyDescent="0.3">
      <c r="E405" s="17"/>
    </row>
    <row r="406" spans="5:5" ht="15.75" thickBot="1" x14ac:dyDescent="0.3">
      <c r="E406" s="17"/>
    </row>
    <row r="407" spans="5:5" ht="15.75" thickBot="1" x14ac:dyDescent="0.3">
      <c r="E407" s="17"/>
    </row>
    <row r="408" spans="5:5" ht="15.75" thickBot="1" x14ac:dyDescent="0.3">
      <c r="E408" s="17"/>
    </row>
    <row r="409" spans="5:5" ht="15.75" thickBot="1" x14ac:dyDescent="0.3">
      <c r="E409" s="17"/>
    </row>
    <row r="410" spans="5:5" ht="15.75" thickBot="1" x14ac:dyDescent="0.3">
      <c r="E410" s="17"/>
    </row>
    <row r="411" spans="5:5" ht="15.75" thickBot="1" x14ac:dyDescent="0.3">
      <c r="E411" s="17"/>
    </row>
    <row r="412" spans="5:5" ht="15.75" thickBot="1" x14ac:dyDescent="0.3">
      <c r="E412" s="17"/>
    </row>
    <row r="413" spans="5:5" ht="15.75" thickBot="1" x14ac:dyDescent="0.3">
      <c r="E413" s="17"/>
    </row>
    <row r="414" spans="5:5" ht="15.75" thickBot="1" x14ac:dyDescent="0.3">
      <c r="E414" s="17"/>
    </row>
    <row r="415" spans="5:5" ht="15.75" thickBot="1" x14ac:dyDescent="0.3">
      <c r="E415" s="17"/>
    </row>
    <row r="416" spans="5:5" ht="15.75" thickBot="1" x14ac:dyDescent="0.3">
      <c r="E416" s="17"/>
    </row>
    <row r="417" spans="5:5" ht="15.75" thickBot="1" x14ac:dyDescent="0.3">
      <c r="E417" s="17"/>
    </row>
    <row r="418" spans="5:5" ht="15.75" thickBot="1" x14ac:dyDescent="0.3">
      <c r="E418" s="17"/>
    </row>
    <row r="419" spans="5:5" ht="15.75" thickBot="1" x14ac:dyDescent="0.3">
      <c r="E419" s="17"/>
    </row>
    <row r="420" spans="5:5" ht="15.75" thickBot="1" x14ac:dyDescent="0.3">
      <c r="E420" s="17"/>
    </row>
    <row r="421" spans="5:5" ht="15.75" thickBot="1" x14ac:dyDescent="0.3">
      <c r="E421" s="17"/>
    </row>
    <row r="422" spans="5:5" ht="15.75" thickBot="1" x14ac:dyDescent="0.3">
      <c r="E422" s="17"/>
    </row>
    <row r="423" spans="5:5" ht="15.75" thickBot="1" x14ac:dyDescent="0.3">
      <c r="E423" s="17"/>
    </row>
    <row r="424" spans="5:5" ht="15.75" thickBot="1" x14ac:dyDescent="0.3">
      <c r="E424" s="17"/>
    </row>
    <row r="425" spans="5:5" ht="15.75" thickBot="1" x14ac:dyDescent="0.3">
      <c r="E425" s="17"/>
    </row>
    <row r="426" spans="5:5" ht="15.75" thickBot="1" x14ac:dyDescent="0.3">
      <c r="E426" s="17"/>
    </row>
    <row r="427" spans="5:5" ht="15.75" thickBot="1" x14ac:dyDescent="0.3">
      <c r="E427" s="17"/>
    </row>
    <row r="428" spans="5:5" ht="15.75" thickBot="1" x14ac:dyDescent="0.3">
      <c r="E428" s="17"/>
    </row>
    <row r="429" spans="5:5" ht="15.75" thickBot="1" x14ac:dyDescent="0.3">
      <c r="E429" s="17"/>
    </row>
    <row r="430" spans="5:5" ht="15.75" thickBot="1" x14ac:dyDescent="0.3">
      <c r="E430" s="17"/>
    </row>
    <row r="431" spans="5:5" ht="15.75" thickBot="1" x14ac:dyDescent="0.3">
      <c r="E431" s="17"/>
    </row>
    <row r="432" spans="5:5" ht="15.75" thickBot="1" x14ac:dyDescent="0.3">
      <c r="E432" s="17"/>
    </row>
    <row r="433" spans="5:5" ht="15.75" thickBot="1" x14ac:dyDescent="0.3">
      <c r="E433" s="17"/>
    </row>
    <row r="434" spans="5:5" ht="15.75" thickBot="1" x14ac:dyDescent="0.3">
      <c r="E434" s="17"/>
    </row>
    <row r="435" spans="5:5" ht="15.75" thickBot="1" x14ac:dyDescent="0.3">
      <c r="E435" s="17"/>
    </row>
    <row r="436" spans="5:5" ht="15.75" thickBot="1" x14ac:dyDescent="0.3">
      <c r="E436" s="17"/>
    </row>
    <row r="437" spans="5:5" ht="15.75" thickBot="1" x14ac:dyDescent="0.3">
      <c r="E437" s="17"/>
    </row>
    <row r="438" spans="5:5" ht="15.75" thickBot="1" x14ac:dyDescent="0.3">
      <c r="E438" s="17"/>
    </row>
    <row r="439" spans="5:5" ht="15.75" thickBot="1" x14ac:dyDescent="0.3">
      <c r="E439" s="17"/>
    </row>
    <row r="440" spans="5:5" ht="15.75" thickBot="1" x14ac:dyDescent="0.3">
      <c r="E440" s="17"/>
    </row>
    <row r="441" spans="5:5" ht="15.75" thickBot="1" x14ac:dyDescent="0.3">
      <c r="E441" s="17"/>
    </row>
    <row r="442" spans="5:5" ht="15.75" thickBot="1" x14ac:dyDescent="0.3">
      <c r="E442" s="17"/>
    </row>
    <row r="443" spans="5:5" ht="15.75" thickBot="1" x14ac:dyDescent="0.3">
      <c r="E443" s="17"/>
    </row>
    <row r="444" spans="5:5" ht="15.75" thickBot="1" x14ac:dyDescent="0.3">
      <c r="E444" s="17"/>
    </row>
    <row r="445" spans="5:5" ht="15.75" thickBot="1" x14ac:dyDescent="0.3">
      <c r="E445" s="17"/>
    </row>
    <row r="446" spans="5:5" ht="15.75" thickBot="1" x14ac:dyDescent="0.3">
      <c r="E446" s="17"/>
    </row>
    <row r="447" spans="5:5" ht="15.75" thickBot="1" x14ac:dyDescent="0.3">
      <c r="E447" s="17"/>
    </row>
    <row r="448" spans="5:5" ht="15.75" thickBot="1" x14ac:dyDescent="0.3">
      <c r="E448" s="17"/>
    </row>
    <row r="449" spans="5:5" ht="15.75" thickBot="1" x14ac:dyDescent="0.3">
      <c r="E449" s="17"/>
    </row>
    <row r="450" spans="5:5" ht="15.75" thickBot="1" x14ac:dyDescent="0.3">
      <c r="E450" s="17"/>
    </row>
    <row r="451" spans="5:5" ht="15.75" thickBot="1" x14ac:dyDescent="0.3">
      <c r="E451" s="17"/>
    </row>
    <row r="452" spans="5:5" ht="15.75" thickBot="1" x14ac:dyDescent="0.3">
      <c r="E452" s="17"/>
    </row>
    <row r="453" spans="5:5" ht="15.75" thickBot="1" x14ac:dyDescent="0.3">
      <c r="E453" s="17"/>
    </row>
    <row r="454" spans="5:5" ht="15.75" thickBot="1" x14ac:dyDescent="0.3">
      <c r="E454" s="17"/>
    </row>
    <row r="455" spans="5:5" ht="15.75" thickBot="1" x14ac:dyDescent="0.3">
      <c r="E455" s="17"/>
    </row>
    <row r="456" spans="5:5" ht="15.75" thickBot="1" x14ac:dyDescent="0.3">
      <c r="E456" s="17"/>
    </row>
    <row r="457" spans="5:5" ht="15.75" thickBot="1" x14ac:dyDescent="0.3">
      <c r="E457" s="17"/>
    </row>
    <row r="458" spans="5:5" ht="15.75" thickBot="1" x14ac:dyDescent="0.3">
      <c r="E458" s="17"/>
    </row>
    <row r="459" spans="5:5" ht="15.75" thickBot="1" x14ac:dyDescent="0.3">
      <c r="E459" s="17"/>
    </row>
    <row r="460" spans="5:5" ht="15.75" thickBot="1" x14ac:dyDescent="0.3">
      <c r="E460" s="17"/>
    </row>
    <row r="461" spans="5:5" ht="15.75" thickBot="1" x14ac:dyDescent="0.3">
      <c r="E461" s="17"/>
    </row>
    <row r="462" spans="5:5" ht="15.75" thickBot="1" x14ac:dyDescent="0.3">
      <c r="E462" s="17"/>
    </row>
    <row r="463" spans="5:5" ht="15.75" thickBot="1" x14ac:dyDescent="0.3">
      <c r="E463" s="17"/>
    </row>
    <row r="464" spans="5:5" ht="15.75" thickBot="1" x14ac:dyDescent="0.3">
      <c r="E464" s="17"/>
    </row>
    <row r="465" spans="5:5" ht="15.75" thickBot="1" x14ac:dyDescent="0.3">
      <c r="E465" s="17"/>
    </row>
    <row r="466" spans="5:5" ht="15.75" thickBot="1" x14ac:dyDescent="0.3">
      <c r="E466" s="17"/>
    </row>
    <row r="467" spans="5:5" ht="15.75" thickBot="1" x14ac:dyDescent="0.3">
      <c r="E467" s="17"/>
    </row>
    <row r="468" spans="5:5" ht="15.75" thickBot="1" x14ac:dyDescent="0.3">
      <c r="E468" s="17"/>
    </row>
    <row r="469" spans="5:5" ht="15.75" thickBot="1" x14ac:dyDescent="0.3">
      <c r="E469" s="17"/>
    </row>
    <row r="470" spans="5:5" ht="15.75" thickBot="1" x14ac:dyDescent="0.3">
      <c r="E470" s="17"/>
    </row>
    <row r="471" spans="5:5" ht="15.75" thickBot="1" x14ac:dyDescent="0.3">
      <c r="E471" s="17"/>
    </row>
    <row r="472" spans="5:5" ht="15.75" thickBot="1" x14ac:dyDescent="0.3">
      <c r="E472" s="17"/>
    </row>
    <row r="473" spans="5:5" ht="15.75" thickBot="1" x14ac:dyDescent="0.3">
      <c r="E473" s="17"/>
    </row>
    <row r="474" spans="5:5" ht="15.75" thickBot="1" x14ac:dyDescent="0.3">
      <c r="E474" s="17"/>
    </row>
    <row r="475" spans="5:5" ht="15.75" thickBot="1" x14ac:dyDescent="0.3">
      <c r="E475" s="17"/>
    </row>
    <row r="476" spans="5:5" ht="15.75" thickBot="1" x14ac:dyDescent="0.3">
      <c r="E476" s="17"/>
    </row>
    <row r="477" spans="5:5" ht="15.75" thickBot="1" x14ac:dyDescent="0.3">
      <c r="E477" s="17"/>
    </row>
    <row r="478" spans="5:5" ht="15.75" thickBot="1" x14ac:dyDescent="0.3">
      <c r="E478" s="17"/>
    </row>
    <row r="479" spans="5:5" ht="15.75" thickBot="1" x14ac:dyDescent="0.3">
      <c r="E479" s="17"/>
    </row>
    <row r="480" spans="5:5" ht="15.75" thickBot="1" x14ac:dyDescent="0.3">
      <c r="E480" s="17"/>
    </row>
    <row r="481" spans="5:5" ht="15.75" thickBot="1" x14ac:dyDescent="0.3">
      <c r="E481" s="17"/>
    </row>
    <row r="482" spans="5:5" ht="15.75" thickBot="1" x14ac:dyDescent="0.3">
      <c r="E482" s="17"/>
    </row>
    <row r="483" spans="5:5" ht="15.75" thickBot="1" x14ac:dyDescent="0.3">
      <c r="E483" s="17"/>
    </row>
    <row r="484" spans="5:5" ht="15.75" thickBot="1" x14ac:dyDescent="0.3">
      <c r="E484" s="17"/>
    </row>
    <row r="485" spans="5:5" ht="15.75" thickBot="1" x14ac:dyDescent="0.3">
      <c r="E485" s="17"/>
    </row>
    <row r="486" spans="5:5" ht="15.75" thickBot="1" x14ac:dyDescent="0.3">
      <c r="E486" s="17"/>
    </row>
    <row r="487" spans="5:5" ht="15.75" thickBot="1" x14ac:dyDescent="0.3">
      <c r="E487" s="17"/>
    </row>
    <row r="488" spans="5:5" ht="15.75" thickBot="1" x14ac:dyDescent="0.3">
      <c r="E488" s="17"/>
    </row>
    <row r="489" spans="5:5" ht="15.75" thickBot="1" x14ac:dyDescent="0.3">
      <c r="E489" s="17"/>
    </row>
    <row r="490" spans="5:5" ht="15.75" thickBot="1" x14ac:dyDescent="0.3">
      <c r="E490" s="17"/>
    </row>
    <row r="491" spans="5:5" ht="15.75" thickBot="1" x14ac:dyDescent="0.3">
      <c r="E491" s="17"/>
    </row>
    <row r="492" spans="5:5" ht="15.75" thickBot="1" x14ac:dyDescent="0.3">
      <c r="E492" s="17"/>
    </row>
    <row r="493" spans="5:5" ht="15.75" thickBot="1" x14ac:dyDescent="0.3">
      <c r="E493" s="17"/>
    </row>
    <row r="494" spans="5:5" ht="15.75" thickBot="1" x14ac:dyDescent="0.3">
      <c r="E494" s="17"/>
    </row>
    <row r="495" spans="5:5" ht="15.75" thickBot="1" x14ac:dyDescent="0.3">
      <c r="E495" s="17"/>
    </row>
    <row r="496" spans="5:5" ht="15.75" thickBot="1" x14ac:dyDescent="0.3">
      <c r="E496" s="17"/>
    </row>
    <row r="497" spans="5:5" ht="15.75" thickBot="1" x14ac:dyDescent="0.3">
      <c r="E497" s="17"/>
    </row>
    <row r="498" spans="5:5" ht="15.75" thickBot="1" x14ac:dyDescent="0.3">
      <c r="E498" s="17"/>
    </row>
    <row r="499" spans="5:5" ht="15.75" thickBot="1" x14ac:dyDescent="0.3">
      <c r="E499" s="17"/>
    </row>
    <row r="500" spans="5:5" ht="15.75" thickBot="1" x14ac:dyDescent="0.3">
      <c r="E500" s="17"/>
    </row>
    <row r="501" spans="5:5" ht="15.75" thickBot="1" x14ac:dyDescent="0.3">
      <c r="E501" s="17"/>
    </row>
    <row r="502" spans="5:5" ht="15.75" thickBot="1" x14ac:dyDescent="0.3">
      <c r="E502" s="17"/>
    </row>
    <row r="503" spans="5:5" ht="15.75" thickBot="1" x14ac:dyDescent="0.3">
      <c r="E503" s="17"/>
    </row>
    <row r="504" spans="5:5" ht="15.75" thickBot="1" x14ac:dyDescent="0.3">
      <c r="E504" s="17"/>
    </row>
    <row r="505" spans="5:5" ht="15.75" thickBot="1" x14ac:dyDescent="0.3">
      <c r="E505" s="17"/>
    </row>
    <row r="506" spans="5:5" ht="15.75" thickBot="1" x14ac:dyDescent="0.3">
      <c r="E506" s="17"/>
    </row>
    <row r="507" spans="5:5" ht="15.75" thickBot="1" x14ac:dyDescent="0.3">
      <c r="E507" s="17"/>
    </row>
    <row r="508" spans="5:5" ht="15.75" thickBot="1" x14ac:dyDescent="0.3">
      <c r="E508" s="17"/>
    </row>
    <row r="509" spans="5:5" ht="15.75" thickBot="1" x14ac:dyDescent="0.3">
      <c r="E509" s="17"/>
    </row>
    <row r="510" spans="5:5" ht="15.75" thickBot="1" x14ac:dyDescent="0.3">
      <c r="E510" s="17"/>
    </row>
    <row r="511" spans="5:5" ht="15.75" thickBot="1" x14ac:dyDescent="0.3">
      <c r="E511" s="17"/>
    </row>
    <row r="512" spans="5:5" ht="15.75" thickBot="1" x14ac:dyDescent="0.3">
      <c r="E512" s="17"/>
    </row>
    <row r="513" spans="5:5" ht="15.75" thickBot="1" x14ac:dyDescent="0.3">
      <c r="E513" s="17"/>
    </row>
    <row r="514" spans="5:5" ht="15.75" thickBot="1" x14ac:dyDescent="0.3">
      <c r="E514" s="17"/>
    </row>
    <row r="515" spans="5:5" ht="15.75" thickBot="1" x14ac:dyDescent="0.3">
      <c r="E515" s="17"/>
    </row>
    <row r="516" spans="5:5" ht="15.75" thickBot="1" x14ac:dyDescent="0.3">
      <c r="E516" s="17"/>
    </row>
    <row r="517" spans="5:5" ht="15.75" thickBot="1" x14ac:dyDescent="0.3">
      <c r="E517" s="17"/>
    </row>
    <row r="518" spans="5:5" ht="15.75" thickBot="1" x14ac:dyDescent="0.3">
      <c r="E518" s="17"/>
    </row>
    <row r="519" spans="5:5" ht="15.75" thickBot="1" x14ac:dyDescent="0.3">
      <c r="E519" s="17"/>
    </row>
    <row r="520" spans="5:5" ht="15.75" thickBot="1" x14ac:dyDescent="0.3">
      <c r="E520" s="17"/>
    </row>
    <row r="521" spans="5:5" ht="15.75" thickBot="1" x14ac:dyDescent="0.3">
      <c r="E521" s="17"/>
    </row>
    <row r="522" spans="5:5" ht="15.75" thickBot="1" x14ac:dyDescent="0.3">
      <c r="E522" s="17"/>
    </row>
    <row r="523" spans="5:5" ht="15.75" thickBot="1" x14ac:dyDescent="0.3">
      <c r="E523" s="17"/>
    </row>
    <row r="524" spans="5:5" ht="15.75" thickBot="1" x14ac:dyDescent="0.3">
      <c r="E524" s="17"/>
    </row>
    <row r="525" spans="5:5" ht="15.75" thickBot="1" x14ac:dyDescent="0.3">
      <c r="E525" s="17"/>
    </row>
    <row r="526" spans="5:5" ht="15.75" thickBot="1" x14ac:dyDescent="0.3">
      <c r="E526" s="17"/>
    </row>
    <row r="527" spans="5:5" ht="15.75" thickBot="1" x14ac:dyDescent="0.3">
      <c r="E527" s="17"/>
    </row>
    <row r="528" spans="5:5" ht="15.75" thickBot="1" x14ac:dyDescent="0.3">
      <c r="E528" s="17"/>
    </row>
    <row r="529" spans="5:5" ht="15.75" thickBot="1" x14ac:dyDescent="0.3">
      <c r="E529" s="17"/>
    </row>
    <row r="530" spans="5:5" ht="15.75" thickBot="1" x14ac:dyDescent="0.3">
      <c r="E530" s="17"/>
    </row>
    <row r="531" spans="5:5" ht="15.75" thickBot="1" x14ac:dyDescent="0.3">
      <c r="E531" s="17"/>
    </row>
    <row r="532" spans="5:5" ht="15.75" thickBot="1" x14ac:dyDescent="0.3">
      <c r="E532" s="17"/>
    </row>
    <row r="533" spans="5:5" ht="15.75" thickBot="1" x14ac:dyDescent="0.3">
      <c r="E533" s="17"/>
    </row>
    <row r="534" spans="5:5" ht="15.75" thickBot="1" x14ac:dyDescent="0.3">
      <c r="E534" s="17"/>
    </row>
    <row r="535" spans="5:5" ht="15.75" thickBot="1" x14ac:dyDescent="0.3">
      <c r="E535" s="17"/>
    </row>
    <row r="536" spans="5:5" ht="15.75" thickBot="1" x14ac:dyDescent="0.3">
      <c r="E536" s="17"/>
    </row>
    <row r="537" spans="5:5" ht="15.75" thickBot="1" x14ac:dyDescent="0.3">
      <c r="E537" s="17"/>
    </row>
    <row r="538" spans="5:5" ht="15.75" thickBot="1" x14ac:dyDescent="0.3">
      <c r="E538" s="17"/>
    </row>
    <row r="539" spans="5:5" ht="15.75" thickBot="1" x14ac:dyDescent="0.3">
      <c r="E539" s="17"/>
    </row>
    <row r="540" spans="5:5" ht="15.75" thickBot="1" x14ac:dyDescent="0.3">
      <c r="E540" s="17"/>
    </row>
    <row r="541" spans="5:5" ht="15.75" thickBot="1" x14ac:dyDescent="0.3">
      <c r="E541" s="17"/>
    </row>
    <row r="542" spans="5:5" ht="15.75" thickBot="1" x14ac:dyDescent="0.3">
      <c r="E542" s="17"/>
    </row>
    <row r="543" spans="5:5" ht="15.75" thickBot="1" x14ac:dyDescent="0.3">
      <c r="E543" s="17"/>
    </row>
    <row r="544" spans="5:5" ht="15.75" thickBot="1" x14ac:dyDescent="0.3">
      <c r="E544" s="17"/>
    </row>
    <row r="545" spans="5:5" ht="15.75" thickBot="1" x14ac:dyDescent="0.3">
      <c r="E545" s="17"/>
    </row>
    <row r="546" spans="5:5" ht="15.75" thickBot="1" x14ac:dyDescent="0.3">
      <c r="E546" s="17"/>
    </row>
    <row r="547" spans="5:5" ht="15.75" thickBot="1" x14ac:dyDescent="0.3">
      <c r="E547" s="17"/>
    </row>
    <row r="548" spans="5:5" ht="15.75" thickBot="1" x14ac:dyDescent="0.3">
      <c r="E548" s="17"/>
    </row>
    <row r="549" spans="5:5" ht="15.75" thickBot="1" x14ac:dyDescent="0.3">
      <c r="E549" s="17"/>
    </row>
    <row r="550" spans="5:5" ht="15.75" thickBot="1" x14ac:dyDescent="0.3">
      <c r="E550" s="17"/>
    </row>
    <row r="551" spans="5:5" ht="15.75" thickBot="1" x14ac:dyDescent="0.3">
      <c r="E551" s="17"/>
    </row>
    <row r="552" spans="5:5" ht="15.75" thickBot="1" x14ac:dyDescent="0.3">
      <c r="E552" s="17"/>
    </row>
    <row r="553" spans="5:5" ht="15.75" thickBot="1" x14ac:dyDescent="0.3">
      <c r="E553" s="17"/>
    </row>
    <row r="554" spans="5:5" ht="15.75" thickBot="1" x14ac:dyDescent="0.3">
      <c r="E554" s="17"/>
    </row>
    <row r="555" spans="5:5" ht="15.75" thickBot="1" x14ac:dyDescent="0.3">
      <c r="E555" s="17"/>
    </row>
    <row r="556" spans="5:5" ht="15.75" thickBot="1" x14ac:dyDescent="0.3">
      <c r="E556" s="17"/>
    </row>
    <row r="557" spans="5:5" ht="15.75" thickBot="1" x14ac:dyDescent="0.3">
      <c r="E557" s="17"/>
    </row>
    <row r="558" spans="5:5" ht="15.75" thickBot="1" x14ac:dyDescent="0.3">
      <c r="E558" s="17"/>
    </row>
    <row r="559" spans="5:5" ht="15.75" thickBot="1" x14ac:dyDescent="0.3">
      <c r="E559" s="17"/>
    </row>
    <row r="560" spans="5:5" ht="15.75" thickBot="1" x14ac:dyDescent="0.3">
      <c r="E560" s="17"/>
    </row>
    <row r="561" spans="5:5" ht="15.75" thickBot="1" x14ac:dyDescent="0.3">
      <c r="E561" s="17"/>
    </row>
    <row r="562" spans="5:5" ht="15.75" thickBot="1" x14ac:dyDescent="0.3">
      <c r="E562" s="17"/>
    </row>
    <row r="563" spans="5:5" ht="15.75" thickBot="1" x14ac:dyDescent="0.3">
      <c r="E563" s="17"/>
    </row>
    <row r="564" spans="5:5" ht="15.75" thickBot="1" x14ac:dyDescent="0.3">
      <c r="E564" s="17"/>
    </row>
    <row r="565" spans="5:5" ht="15.75" thickBot="1" x14ac:dyDescent="0.3">
      <c r="E565" s="17"/>
    </row>
    <row r="566" spans="5:5" ht="15.75" thickBot="1" x14ac:dyDescent="0.3">
      <c r="E566" s="17"/>
    </row>
    <row r="567" spans="5:5" ht="15.75" thickBot="1" x14ac:dyDescent="0.3">
      <c r="E567" s="17"/>
    </row>
    <row r="568" spans="5:5" ht="15.75" thickBot="1" x14ac:dyDescent="0.3">
      <c r="E568" s="17"/>
    </row>
    <row r="569" spans="5:5" ht="15.75" thickBot="1" x14ac:dyDescent="0.3">
      <c r="E569" s="17"/>
    </row>
    <row r="570" spans="5:5" ht="15.75" thickBot="1" x14ac:dyDescent="0.3">
      <c r="E570" s="17"/>
    </row>
    <row r="571" spans="5:5" ht="15.75" thickBot="1" x14ac:dyDescent="0.3">
      <c r="E571" s="17"/>
    </row>
    <row r="572" spans="5:5" ht="15.75" thickBot="1" x14ac:dyDescent="0.3">
      <c r="E572" s="17"/>
    </row>
    <row r="573" spans="5:5" ht="15.75" thickBot="1" x14ac:dyDescent="0.3">
      <c r="E573" s="17"/>
    </row>
    <row r="574" spans="5:5" ht="15.75" thickBot="1" x14ac:dyDescent="0.3">
      <c r="E574" s="17"/>
    </row>
    <row r="575" spans="5:5" ht="15.75" thickBot="1" x14ac:dyDescent="0.3">
      <c r="E575" s="17"/>
    </row>
    <row r="576" spans="5:5" ht="15.75" thickBot="1" x14ac:dyDescent="0.3">
      <c r="E576" s="17"/>
    </row>
    <row r="577" spans="5:5" ht="15.75" thickBot="1" x14ac:dyDescent="0.3">
      <c r="E577" s="17"/>
    </row>
    <row r="578" spans="5:5" ht="15.75" thickBot="1" x14ac:dyDescent="0.3">
      <c r="E578" s="17"/>
    </row>
    <row r="579" spans="5:5" ht="15.75" thickBot="1" x14ac:dyDescent="0.3">
      <c r="E579" s="17"/>
    </row>
    <row r="580" spans="5:5" ht="15.75" thickBot="1" x14ac:dyDescent="0.3">
      <c r="E580" s="17"/>
    </row>
    <row r="581" spans="5:5" ht="15.75" thickBot="1" x14ac:dyDescent="0.3">
      <c r="E581" s="17"/>
    </row>
    <row r="582" spans="5:5" ht="15.75" thickBot="1" x14ac:dyDescent="0.3">
      <c r="E582" s="17"/>
    </row>
    <row r="583" spans="5:5" ht="15.75" thickBot="1" x14ac:dyDescent="0.3">
      <c r="E583" s="17"/>
    </row>
    <row r="584" spans="5:5" ht="15.75" thickBot="1" x14ac:dyDescent="0.3">
      <c r="E584" s="17"/>
    </row>
    <row r="585" spans="5:5" ht="15.75" thickBot="1" x14ac:dyDescent="0.3">
      <c r="E585" s="17"/>
    </row>
    <row r="586" spans="5:5" ht="15.75" thickBot="1" x14ac:dyDescent="0.3">
      <c r="E586" s="17"/>
    </row>
    <row r="587" spans="5:5" ht="15.75" thickBot="1" x14ac:dyDescent="0.3">
      <c r="E587" s="17"/>
    </row>
    <row r="588" spans="5:5" ht="15.75" thickBot="1" x14ac:dyDescent="0.3">
      <c r="E588" s="17"/>
    </row>
    <row r="589" spans="5:5" ht="15.75" thickBot="1" x14ac:dyDescent="0.3">
      <c r="E589" s="17"/>
    </row>
    <row r="590" spans="5:5" ht="15.75" thickBot="1" x14ac:dyDescent="0.3">
      <c r="E590" s="17"/>
    </row>
    <row r="591" spans="5:5" ht="15.75" thickBot="1" x14ac:dyDescent="0.3">
      <c r="E591" s="17"/>
    </row>
    <row r="592" spans="5:5" ht="15.75" thickBot="1" x14ac:dyDescent="0.3">
      <c r="E592" s="17"/>
    </row>
    <row r="593" spans="5:5" ht="15.75" thickBot="1" x14ac:dyDescent="0.3">
      <c r="E593" s="17"/>
    </row>
    <row r="594" spans="5:5" ht="15.75" thickBot="1" x14ac:dyDescent="0.3">
      <c r="E594" s="17"/>
    </row>
    <row r="595" spans="5:5" ht="15.75" thickBot="1" x14ac:dyDescent="0.3">
      <c r="E595" s="17"/>
    </row>
    <row r="596" spans="5:5" ht="15.75" thickBot="1" x14ac:dyDescent="0.3">
      <c r="E596" s="17"/>
    </row>
    <row r="597" spans="5:5" ht="15.75" thickBot="1" x14ac:dyDescent="0.3">
      <c r="E597" s="17"/>
    </row>
    <row r="598" spans="5:5" ht="15.75" thickBot="1" x14ac:dyDescent="0.3">
      <c r="E598" s="17"/>
    </row>
    <row r="599" spans="5:5" ht="15.75" thickBot="1" x14ac:dyDescent="0.3">
      <c r="E599" s="17"/>
    </row>
    <row r="600" spans="5:5" ht="15.75" thickBot="1" x14ac:dyDescent="0.3">
      <c r="E600" s="17"/>
    </row>
    <row r="601" spans="5:5" ht="15.75" thickBot="1" x14ac:dyDescent="0.3">
      <c r="E601" s="17"/>
    </row>
    <row r="602" spans="5:5" ht="15.75" thickBot="1" x14ac:dyDescent="0.3">
      <c r="E602" s="17"/>
    </row>
    <row r="603" spans="5:5" ht="15.75" thickBot="1" x14ac:dyDescent="0.3">
      <c r="E603" s="17"/>
    </row>
    <row r="604" spans="5:5" ht="15.75" thickBot="1" x14ac:dyDescent="0.3">
      <c r="E604" s="17"/>
    </row>
    <row r="605" spans="5:5" ht="15.75" thickBot="1" x14ac:dyDescent="0.3">
      <c r="E605" s="17"/>
    </row>
    <row r="606" spans="5:5" ht="15.75" thickBot="1" x14ac:dyDescent="0.3">
      <c r="E606" s="17"/>
    </row>
    <row r="607" spans="5:5" ht="15.75" thickBot="1" x14ac:dyDescent="0.3">
      <c r="E607" s="17"/>
    </row>
    <row r="608" spans="5:5" ht="15.75" thickBot="1" x14ac:dyDescent="0.3">
      <c r="E608" s="17"/>
    </row>
    <row r="609" spans="5:5" ht="15.75" thickBot="1" x14ac:dyDescent="0.3">
      <c r="E609" s="17"/>
    </row>
    <row r="610" spans="5:5" ht="15.75" thickBot="1" x14ac:dyDescent="0.3">
      <c r="E610" s="17"/>
    </row>
    <row r="611" spans="5:5" ht="15.75" thickBot="1" x14ac:dyDescent="0.3">
      <c r="E611" s="17"/>
    </row>
    <row r="612" spans="5:5" ht="15.75" thickBot="1" x14ac:dyDescent="0.3">
      <c r="E612" s="17"/>
    </row>
    <row r="613" spans="5:5" ht="15.75" thickBot="1" x14ac:dyDescent="0.3">
      <c r="E613" s="17"/>
    </row>
    <row r="614" spans="5:5" ht="15.75" thickBot="1" x14ac:dyDescent="0.3">
      <c r="E614" s="17"/>
    </row>
    <row r="615" spans="5:5" ht="15.75" thickBot="1" x14ac:dyDescent="0.3">
      <c r="E615" s="17"/>
    </row>
    <row r="616" spans="5:5" ht="15.75" thickBot="1" x14ac:dyDescent="0.3">
      <c r="E616" s="17"/>
    </row>
    <row r="617" spans="5:5" ht="15.75" thickBot="1" x14ac:dyDescent="0.3">
      <c r="E617" s="17"/>
    </row>
    <row r="618" spans="5:5" ht="15.75" thickBot="1" x14ac:dyDescent="0.3">
      <c r="E618" s="17"/>
    </row>
    <row r="619" spans="5:5" ht="15.75" thickBot="1" x14ac:dyDescent="0.3">
      <c r="E619" s="17"/>
    </row>
    <row r="620" spans="5:5" ht="15.75" thickBot="1" x14ac:dyDescent="0.3">
      <c r="E620" s="17"/>
    </row>
    <row r="621" spans="5:5" ht="15.75" thickBot="1" x14ac:dyDescent="0.3">
      <c r="E621" s="17"/>
    </row>
    <row r="622" spans="5:5" ht="15.75" thickBot="1" x14ac:dyDescent="0.3">
      <c r="E622" s="17"/>
    </row>
    <row r="623" spans="5:5" ht="15.75" thickBot="1" x14ac:dyDescent="0.3">
      <c r="E623" s="17"/>
    </row>
    <row r="624" spans="5:5" ht="15.75" thickBot="1" x14ac:dyDescent="0.3">
      <c r="E624" s="17"/>
    </row>
    <row r="625" spans="5:5" ht="15.75" thickBot="1" x14ac:dyDescent="0.3">
      <c r="E625" s="17"/>
    </row>
    <row r="626" spans="5:5" ht="15.75" thickBot="1" x14ac:dyDescent="0.3">
      <c r="E626" s="17"/>
    </row>
    <row r="627" spans="5:5" ht="15.75" thickBot="1" x14ac:dyDescent="0.3">
      <c r="E627" s="17"/>
    </row>
    <row r="628" spans="5:5" ht="15.75" thickBot="1" x14ac:dyDescent="0.3">
      <c r="E628" s="17"/>
    </row>
    <row r="629" spans="5:5" ht="15.75" thickBot="1" x14ac:dyDescent="0.3">
      <c r="E629" s="17"/>
    </row>
    <row r="630" spans="5:5" ht="15.75" thickBot="1" x14ac:dyDescent="0.3">
      <c r="E630" s="17"/>
    </row>
    <row r="631" spans="5:5" ht="15.75" thickBot="1" x14ac:dyDescent="0.3">
      <c r="E631" s="17"/>
    </row>
    <row r="632" spans="5:5" ht="15.75" thickBot="1" x14ac:dyDescent="0.3">
      <c r="E632" s="17"/>
    </row>
    <row r="633" spans="5:5" ht="15.75" thickBot="1" x14ac:dyDescent="0.3">
      <c r="E633" s="17"/>
    </row>
    <row r="634" spans="5:5" ht="15.75" thickBot="1" x14ac:dyDescent="0.3">
      <c r="E634" s="17"/>
    </row>
    <row r="635" spans="5:5" ht="15.75" thickBot="1" x14ac:dyDescent="0.3">
      <c r="E635" s="17"/>
    </row>
    <row r="636" spans="5:5" ht="15.75" thickBot="1" x14ac:dyDescent="0.3">
      <c r="E636" s="17"/>
    </row>
    <row r="637" spans="5:5" ht="15.75" thickBot="1" x14ac:dyDescent="0.3">
      <c r="E637" s="17"/>
    </row>
    <row r="638" spans="5:5" ht="15.75" thickBot="1" x14ac:dyDescent="0.3">
      <c r="E638" s="17"/>
    </row>
    <row r="639" spans="5:5" ht="15.75" thickBot="1" x14ac:dyDescent="0.3">
      <c r="E639" s="17"/>
    </row>
    <row r="640" spans="5:5" ht="15.75" thickBot="1" x14ac:dyDescent="0.3">
      <c r="E640" s="17"/>
    </row>
    <row r="641" spans="5:5" ht="15.75" thickBot="1" x14ac:dyDescent="0.3">
      <c r="E641" s="17"/>
    </row>
    <row r="642" spans="5:5" ht="15.75" thickBot="1" x14ac:dyDescent="0.3">
      <c r="E642" s="17"/>
    </row>
    <row r="643" spans="5:5" ht="15.75" thickBot="1" x14ac:dyDescent="0.3">
      <c r="E643" s="17"/>
    </row>
    <row r="644" spans="5:5" ht="15.75" thickBot="1" x14ac:dyDescent="0.3">
      <c r="E644" s="17"/>
    </row>
    <row r="645" spans="5:5" ht="15.75" thickBot="1" x14ac:dyDescent="0.3">
      <c r="E645" s="17"/>
    </row>
    <row r="646" spans="5:5" ht="15.75" thickBot="1" x14ac:dyDescent="0.3">
      <c r="E646" s="17"/>
    </row>
    <row r="647" spans="5:5" ht="15.75" thickBot="1" x14ac:dyDescent="0.3">
      <c r="E647" s="17"/>
    </row>
    <row r="648" spans="5:5" ht="15.75" thickBot="1" x14ac:dyDescent="0.3">
      <c r="E648" s="17"/>
    </row>
    <row r="649" spans="5:5" ht="15.75" thickBot="1" x14ac:dyDescent="0.3">
      <c r="E649" s="17"/>
    </row>
    <row r="650" spans="5:5" ht="15.75" thickBot="1" x14ac:dyDescent="0.3">
      <c r="E650" s="17"/>
    </row>
    <row r="651" spans="5:5" ht="15.75" thickBot="1" x14ac:dyDescent="0.3">
      <c r="E651" s="17"/>
    </row>
    <row r="652" spans="5:5" ht="15.75" thickBot="1" x14ac:dyDescent="0.3">
      <c r="E652" s="17"/>
    </row>
    <row r="653" spans="5:5" ht="15.75" thickBot="1" x14ac:dyDescent="0.3">
      <c r="E653" s="17"/>
    </row>
    <row r="654" spans="5:5" ht="15.75" thickBot="1" x14ac:dyDescent="0.3">
      <c r="E654" s="17"/>
    </row>
    <row r="655" spans="5:5" ht="15.75" thickBot="1" x14ac:dyDescent="0.3">
      <c r="E655" s="17"/>
    </row>
    <row r="656" spans="5:5" ht="15.75" thickBot="1" x14ac:dyDescent="0.3">
      <c r="E656" s="17"/>
    </row>
    <row r="657" spans="5:5" ht="15.75" thickBot="1" x14ac:dyDescent="0.3">
      <c r="E657" s="17"/>
    </row>
    <row r="658" spans="5:5" ht="15.75" thickBot="1" x14ac:dyDescent="0.3">
      <c r="E658" s="17"/>
    </row>
    <row r="659" spans="5:5" ht="15.75" thickBot="1" x14ac:dyDescent="0.3">
      <c r="E659" s="17"/>
    </row>
    <row r="660" spans="5:5" ht="15.75" thickBot="1" x14ac:dyDescent="0.3">
      <c r="E660" s="17"/>
    </row>
    <row r="661" spans="5:5" ht="15.75" thickBot="1" x14ac:dyDescent="0.3">
      <c r="E661" s="17"/>
    </row>
    <row r="662" spans="5:5" ht="15.75" thickBot="1" x14ac:dyDescent="0.3">
      <c r="E662" s="17"/>
    </row>
    <row r="663" spans="5:5" ht="15.75" thickBot="1" x14ac:dyDescent="0.3">
      <c r="E663" s="17"/>
    </row>
    <row r="664" spans="5:5" ht="15.75" thickBot="1" x14ac:dyDescent="0.3">
      <c r="E664" s="17"/>
    </row>
    <row r="665" spans="5:5" ht="15.75" thickBot="1" x14ac:dyDescent="0.3">
      <c r="E665" s="17"/>
    </row>
    <row r="666" spans="5:5" ht="15.75" thickBot="1" x14ac:dyDescent="0.3">
      <c r="E666" s="17"/>
    </row>
    <row r="667" spans="5:5" ht="15.75" thickBot="1" x14ac:dyDescent="0.3">
      <c r="E667" s="17"/>
    </row>
    <row r="668" spans="5:5" ht="15.75" thickBot="1" x14ac:dyDescent="0.3">
      <c r="E668" s="17"/>
    </row>
    <row r="669" spans="5:5" ht="15.75" thickBot="1" x14ac:dyDescent="0.3">
      <c r="E669" s="17"/>
    </row>
    <row r="670" spans="5:5" ht="15.75" thickBot="1" x14ac:dyDescent="0.3">
      <c r="E670" s="17"/>
    </row>
    <row r="671" spans="5:5" ht="15.75" thickBot="1" x14ac:dyDescent="0.3">
      <c r="E671" s="17"/>
    </row>
    <row r="672" spans="5:5" ht="15.75" thickBot="1" x14ac:dyDescent="0.3">
      <c r="E672" s="17"/>
    </row>
    <row r="673" spans="5:5" ht="15.75" thickBot="1" x14ac:dyDescent="0.3">
      <c r="E673" s="17"/>
    </row>
    <row r="674" spans="5:5" ht="15.75" thickBot="1" x14ac:dyDescent="0.3">
      <c r="E674" s="17"/>
    </row>
    <row r="675" spans="5:5" ht="15.75" thickBot="1" x14ac:dyDescent="0.3">
      <c r="E675" s="17"/>
    </row>
    <row r="676" spans="5:5" ht="15.75" thickBot="1" x14ac:dyDescent="0.3">
      <c r="E676" s="17"/>
    </row>
    <row r="677" spans="5:5" ht="15.75" thickBot="1" x14ac:dyDescent="0.3">
      <c r="E677" s="17"/>
    </row>
    <row r="678" spans="5:5" ht="15.75" thickBot="1" x14ac:dyDescent="0.3">
      <c r="E678" s="17"/>
    </row>
    <row r="679" spans="5:5" ht="15.75" thickBot="1" x14ac:dyDescent="0.3">
      <c r="E679" s="17"/>
    </row>
    <row r="680" spans="5:5" ht="15.75" thickBot="1" x14ac:dyDescent="0.3">
      <c r="E680" s="17"/>
    </row>
    <row r="681" spans="5:5" ht="15.75" thickBot="1" x14ac:dyDescent="0.3">
      <c r="E681" s="17"/>
    </row>
    <row r="682" spans="5:5" ht="15.75" thickBot="1" x14ac:dyDescent="0.3">
      <c r="E682" s="17"/>
    </row>
    <row r="683" spans="5:5" ht="15.75" thickBot="1" x14ac:dyDescent="0.3">
      <c r="E683" s="17"/>
    </row>
    <row r="684" spans="5:5" ht="15.75" thickBot="1" x14ac:dyDescent="0.3">
      <c r="E684" s="17"/>
    </row>
    <row r="685" spans="5:5" ht="15.75" thickBot="1" x14ac:dyDescent="0.3">
      <c r="E685" s="17"/>
    </row>
    <row r="686" spans="5:5" ht="15.75" thickBot="1" x14ac:dyDescent="0.3">
      <c r="E686" s="17"/>
    </row>
    <row r="687" spans="5:5" ht="15.75" thickBot="1" x14ac:dyDescent="0.3">
      <c r="E687" s="17"/>
    </row>
    <row r="688" spans="5:5" ht="15.75" thickBot="1" x14ac:dyDescent="0.3">
      <c r="E688" s="17"/>
    </row>
    <row r="689" spans="5:5" ht="15.75" thickBot="1" x14ac:dyDescent="0.3">
      <c r="E689" s="17"/>
    </row>
    <row r="690" spans="5:5" ht="15.75" thickBot="1" x14ac:dyDescent="0.3">
      <c r="E690" s="17"/>
    </row>
    <row r="691" spans="5:5" ht="15.75" thickBot="1" x14ac:dyDescent="0.3">
      <c r="E691" s="17"/>
    </row>
    <row r="692" spans="5:5" ht="15.75" thickBot="1" x14ac:dyDescent="0.3">
      <c r="E692" s="17"/>
    </row>
    <row r="693" spans="5:5" ht="15.75" thickBot="1" x14ac:dyDescent="0.3">
      <c r="E693" s="17"/>
    </row>
    <row r="694" spans="5:5" ht="15.75" thickBot="1" x14ac:dyDescent="0.3">
      <c r="E694" s="17"/>
    </row>
    <row r="695" spans="5:5" ht="15.75" thickBot="1" x14ac:dyDescent="0.3">
      <c r="E695" s="17"/>
    </row>
    <row r="696" spans="5:5" ht="15.75" thickBot="1" x14ac:dyDescent="0.3">
      <c r="E696" s="17"/>
    </row>
    <row r="697" spans="5:5" ht="15.75" thickBot="1" x14ac:dyDescent="0.3">
      <c r="E697" s="17"/>
    </row>
    <row r="698" spans="5:5" ht="15.75" thickBot="1" x14ac:dyDescent="0.3">
      <c r="E698" s="17"/>
    </row>
    <row r="699" spans="5:5" ht="15.75" thickBot="1" x14ac:dyDescent="0.3">
      <c r="E699" s="17"/>
    </row>
    <row r="700" spans="5:5" ht="15.75" thickBot="1" x14ac:dyDescent="0.3">
      <c r="E700" s="17"/>
    </row>
    <row r="701" spans="5:5" ht="15.75" thickBot="1" x14ac:dyDescent="0.3">
      <c r="E701" s="17"/>
    </row>
    <row r="702" spans="5:5" ht="15.75" thickBot="1" x14ac:dyDescent="0.3">
      <c r="E702" s="17"/>
    </row>
    <row r="703" spans="5:5" ht="15.75" thickBot="1" x14ac:dyDescent="0.3">
      <c r="E703" s="17"/>
    </row>
    <row r="704" spans="5:5" ht="15.75" thickBot="1" x14ac:dyDescent="0.3">
      <c r="E704" s="17"/>
    </row>
    <row r="705" spans="5:5" ht="15.75" thickBot="1" x14ac:dyDescent="0.3">
      <c r="E705" s="17"/>
    </row>
    <row r="706" spans="5:5" ht="15.75" thickBot="1" x14ac:dyDescent="0.3">
      <c r="E706" s="17"/>
    </row>
    <row r="707" spans="5:5" ht="15.75" thickBot="1" x14ac:dyDescent="0.3">
      <c r="E707" s="17"/>
    </row>
    <row r="708" spans="5:5" ht="15.75" thickBot="1" x14ac:dyDescent="0.3">
      <c r="E708" s="17"/>
    </row>
    <row r="709" spans="5:5" ht="15.75" thickBot="1" x14ac:dyDescent="0.3">
      <c r="E709" s="17"/>
    </row>
    <row r="710" spans="5:5" ht="15.75" thickBot="1" x14ac:dyDescent="0.3">
      <c r="E710" s="17"/>
    </row>
    <row r="711" spans="5:5" ht="15.75" thickBot="1" x14ac:dyDescent="0.3">
      <c r="E711" s="17"/>
    </row>
    <row r="712" spans="5:5" ht="15.75" thickBot="1" x14ac:dyDescent="0.3">
      <c r="E712" s="17"/>
    </row>
    <row r="713" spans="5:5" ht="15.75" thickBot="1" x14ac:dyDescent="0.3">
      <c r="E713" s="17"/>
    </row>
    <row r="714" spans="5:5" ht="15.75" thickBot="1" x14ac:dyDescent="0.3">
      <c r="E714" s="17"/>
    </row>
    <row r="715" spans="5:5" ht="15.75" thickBot="1" x14ac:dyDescent="0.3">
      <c r="E715" s="17"/>
    </row>
    <row r="716" spans="5:5" ht="15.75" thickBot="1" x14ac:dyDescent="0.3">
      <c r="E716" s="17"/>
    </row>
    <row r="717" spans="5:5" ht="15.75" thickBot="1" x14ac:dyDescent="0.3">
      <c r="E717" s="17"/>
    </row>
    <row r="718" spans="5:5" ht="15.75" thickBot="1" x14ac:dyDescent="0.3">
      <c r="E718" s="17"/>
    </row>
    <row r="719" spans="5:5" ht="15.75" thickBot="1" x14ac:dyDescent="0.3">
      <c r="E719" s="17"/>
    </row>
    <row r="720" spans="5:5" ht="15.75" thickBot="1" x14ac:dyDescent="0.3">
      <c r="E720" s="17"/>
    </row>
    <row r="721" spans="5:5" ht="15.75" thickBot="1" x14ac:dyDescent="0.3">
      <c r="E721" s="17"/>
    </row>
    <row r="722" spans="5:5" ht="15.75" thickBot="1" x14ac:dyDescent="0.3">
      <c r="E722" s="17"/>
    </row>
    <row r="723" spans="5:5" ht="15.75" thickBot="1" x14ac:dyDescent="0.3">
      <c r="E723" s="17"/>
    </row>
    <row r="724" spans="5:5" ht="15.75" thickBot="1" x14ac:dyDescent="0.3">
      <c r="E724" s="17"/>
    </row>
    <row r="725" spans="5:5" ht="15.75" thickBot="1" x14ac:dyDescent="0.3">
      <c r="E725" s="17"/>
    </row>
    <row r="726" spans="5:5" ht="15.75" thickBot="1" x14ac:dyDescent="0.3">
      <c r="E726" s="17"/>
    </row>
    <row r="727" spans="5:5" ht="15.75" thickBot="1" x14ac:dyDescent="0.3">
      <c r="E727" s="17"/>
    </row>
    <row r="728" spans="5:5" ht="15.75" thickBot="1" x14ac:dyDescent="0.3">
      <c r="E728" s="17"/>
    </row>
    <row r="729" spans="5:5" ht="15.75" thickBot="1" x14ac:dyDescent="0.3">
      <c r="E729" s="17"/>
    </row>
    <row r="730" spans="5:5" ht="15.75" thickBot="1" x14ac:dyDescent="0.3">
      <c r="E730" s="17"/>
    </row>
    <row r="731" spans="5:5" ht="15.75" thickBot="1" x14ac:dyDescent="0.3">
      <c r="E731" s="17"/>
    </row>
    <row r="732" spans="5:5" ht="15.75" thickBot="1" x14ac:dyDescent="0.3">
      <c r="E732" s="17"/>
    </row>
    <row r="733" spans="5:5" ht="15.75" thickBot="1" x14ac:dyDescent="0.3">
      <c r="E733" s="17"/>
    </row>
    <row r="734" spans="5:5" ht="15.75" thickBot="1" x14ac:dyDescent="0.3">
      <c r="E734" s="17"/>
    </row>
    <row r="735" spans="5:5" ht="15.75" thickBot="1" x14ac:dyDescent="0.3">
      <c r="E735" s="17"/>
    </row>
    <row r="736" spans="5:5" ht="15.75" thickBot="1" x14ac:dyDescent="0.3">
      <c r="E736" s="17"/>
    </row>
    <row r="737" spans="5:5" ht="15.75" thickBot="1" x14ac:dyDescent="0.3">
      <c r="E737" s="17"/>
    </row>
    <row r="738" spans="5:5" ht="15.75" thickBot="1" x14ac:dyDescent="0.3">
      <c r="E738" s="17"/>
    </row>
    <row r="739" spans="5:5" ht="15.75" thickBot="1" x14ac:dyDescent="0.3">
      <c r="E739" s="17"/>
    </row>
    <row r="740" spans="5:5" ht="15.75" thickBot="1" x14ac:dyDescent="0.3">
      <c r="E740" s="17"/>
    </row>
    <row r="741" spans="5:5" ht="15.75" thickBot="1" x14ac:dyDescent="0.3">
      <c r="E741" s="17"/>
    </row>
    <row r="742" spans="5:5" ht="15.75" thickBot="1" x14ac:dyDescent="0.3">
      <c r="E742" s="17"/>
    </row>
    <row r="743" spans="5:5" ht="15.75" thickBot="1" x14ac:dyDescent="0.3">
      <c r="E743" s="17"/>
    </row>
    <row r="744" spans="5:5" ht="15.75" thickBot="1" x14ac:dyDescent="0.3">
      <c r="E744" s="17"/>
    </row>
    <row r="745" spans="5:5" ht="15.75" thickBot="1" x14ac:dyDescent="0.3">
      <c r="E745" s="17"/>
    </row>
    <row r="746" spans="5:5" ht="15.75" thickBot="1" x14ac:dyDescent="0.3">
      <c r="E746" s="17"/>
    </row>
    <row r="747" spans="5:5" ht="15.75" thickBot="1" x14ac:dyDescent="0.3">
      <c r="E747" s="17"/>
    </row>
    <row r="748" spans="5:5" ht="15.75" thickBot="1" x14ac:dyDescent="0.3">
      <c r="E748" s="17"/>
    </row>
    <row r="749" spans="5:5" ht="15.75" thickBot="1" x14ac:dyDescent="0.3">
      <c r="E749" s="17"/>
    </row>
    <row r="750" spans="5:5" ht="15.75" thickBot="1" x14ac:dyDescent="0.3">
      <c r="E750" s="17"/>
    </row>
    <row r="751" spans="5:5" ht="15.75" thickBot="1" x14ac:dyDescent="0.3">
      <c r="E751" s="17"/>
    </row>
    <row r="752" spans="5:5" ht="15.75" thickBot="1" x14ac:dyDescent="0.3">
      <c r="E752" s="17"/>
    </row>
    <row r="753" spans="5:5" ht="15.75" thickBot="1" x14ac:dyDescent="0.3">
      <c r="E753" s="17"/>
    </row>
    <row r="754" spans="5:5" ht="15.75" thickBot="1" x14ac:dyDescent="0.3">
      <c r="E754" s="17"/>
    </row>
    <row r="755" spans="5:5" ht="15.75" thickBot="1" x14ac:dyDescent="0.3">
      <c r="E755" s="17"/>
    </row>
    <row r="756" spans="5:5" ht="15.75" thickBot="1" x14ac:dyDescent="0.3">
      <c r="E756" s="17"/>
    </row>
    <row r="757" spans="5:5" ht="15.75" thickBot="1" x14ac:dyDescent="0.3">
      <c r="E757" s="17"/>
    </row>
    <row r="758" spans="5:5" ht="15.75" thickBot="1" x14ac:dyDescent="0.3">
      <c r="E758" s="17"/>
    </row>
    <row r="759" spans="5:5" ht="15.75" thickBot="1" x14ac:dyDescent="0.3">
      <c r="E759" s="17"/>
    </row>
    <row r="760" spans="5:5" ht="15.75" thickBot="1" x14ac:dyDescent="0.3">
      <c r="E760" s="17"/>
    </row>
    <row r="761" spans="5:5" ht="15.75" thickBot="1" x14ac:dyDescent="0.3">
      <c r="E761" s="17"/>
    </row>
    <row r="762" spans="5:5" ht="15.75" thickBot="1" x14ac:dyDescent="0.3">
      <c r="E762" s="17"/>
    </row>
    <row r="763" spans="5:5" ht="15.75" thickBot="1" x14ac:dyDescent="0.3">
      <c r="E763" s="17"/>
    </row>
    <row r="764" spans="5:5" ht="15.75" thickBot="1" x14ac:dyDescent="0.3">
      <c r="E764" s="17"/>
    </row>
    <row r="765" spans="5:5" ht="15.75" thickBot="1" x14ac:dyDescent="0.3">
      <c r="E765" s="17"/>
    </row>
    <row r="766" spans="5:5" ht="15.75" thickBot="1" x14ac:dyDescent="0.3">
      <c r="E766" s="17"/>
    </row>
    <row r="767" spans="5:5" ht="15.75" thickBot="1" x14ac:dyDescent="0.3">
      <c r="E767" s="17"/>
    </row>
    <row r="768" spans="5:5" ht="15.75" thickBot="1" x14ac:dyDescent="0.3">
      <c r="E768" s="17"/>
    </row>
    <row r="769" spans="5:5" ht="15.75" thickBot="1" x14ac:dyDescent="0.3">
      <c r="E769" s="17"/>
    </row>
    <row r="770" spans="5:5" ht="15.75" thickBot="1" x14ac:dyDescent="0.3">
      <c r="E770" s="17"/>
    </row>
    <row r="771" spans="5:5" ht="15.75" thickBot="1" x14ac:dyDescent="0.3">
      <c r="E771" s="17"/>
    </row>
    <row r="772" spans="5:5" ht="15.75" thickBot="1" x14ac:dyDescent="0.3">
      <c r="E772" s="17"/>
    </row>
    <row r="773" spans="5:5" ht="15.75" thickBot="1" x14ac:dyDescent="0.3">
      <c r="E773" s="17"/>
    </row>
    <row r="774" spans="5:5" ht="15.75" thickBot="1" x14ac:dyDescent="0.3">
      <c r="E774" s="17"/>
    </row>
    <row r="775" spans="5:5" ht="15.75" thickBot="1" x14ac:dyDescent="0.3">
      <c r="E775" s="17"/>
    </row>
    <row r="776" spans="5:5" ht="15.75" thickBot="1" x14ac:dyDescent="0.3">
      <c r="E776" s="17"/>
    </row>
    <row r="777" spans="5:5" ht="15.75" thickBot="1" x14ac:dyDescent="0.3">
      <c r="E777" s="17"/>
    </row>
    <row r="778" spans="5:5" ht="15.75" thickBot="1" x14ac:dyDescent="0.3">
      <c r="E778" s="17"/>
    </row>
    <row r="779" spans="5:5" ht="15.75" thickBot="1" x14ac:dyDescent="0.3">
      <c r="E779" s="17"/>
    </row>
    <row r="780" spans="5:5" ht="15.75" thickBot="1" x14ac:dyDescent="0.3">
      <c r="E780" s="17"/>
    </row>
    <row r="781" spans="5:5" ht="15.75" thickBot="1" x14ac:dyDescent="0.3">
      <c r="E781" s="17"/>
    </row>
    <row r="782" spans="5:5" ht="15.75" thickBot="1" x14ac:dyDescent="0.3">
      <c r="E782" s="17"/>
    </row>
    <row r="783" spans="5:5" ht="15.75" thickBot="1" x14ac:dyDescent="0.3">
      <c r="E783" s="17"/>
    </row>
    <row r="784" spans="5:5" ht="15.75" thickBot="1" x14ac:dyDescent="0.3">
      <c r="E784" s="17"/>
    </row>
    <row r="785" spans="5:5" ht="15.75" thickBot="1" x14ac:dyDescent="0.3">
      <c r="E785" s="17"/>
    </row>
    <row r="786" spans="5:5" ht="15.75" thickBot="1" x14ac:dyDescent="0.3">
      <c r="E786" s="17"/>
    </row>
    <row r="787" spans="5:5" ht="15.75" thickBot="1" x14ac:dyDescent="0.3">
      <c r="E787" s="17"/>
    </row>
    <row r="788" spans="5:5" ht="15.75" thickBot="1" x14ac:dyDescent="0.3">
      <c r="E788" s="17"/>
    </row>
    <row r="789" spans="5:5" ht="15.75" thickBot="1" x14ac:dyDescent="0.3">
      <c r="E789" s="17"/>
    </row>
    <row r="790" spans="5:5" ht="15.75" thickBot="1" x14ac:dyDescent="0.3">
      <c r="E790" s="17"/>
    </row>
    <row r="791" spans="5:5" ht="15.75" thickBot="1" x14ac:dyDescent="0.3">
      <c r="E791" s="17"/>
    </row>
    <row r="792" spans="5:5" ht="15.75" thickBot="1" x14ac:dyDescent="0.3">
      <c r="E792" s="17"/>
    </row>
    <row r="793" spans="5:5" ht="15.75" thickBot="1" x14ac:dyDescent="0.3">
      <c r="E793" s="17"/>
    </row>
    <row r="794" spans="5:5" ht="15.75" thickBot="1" x14ac:dyDescent="0.3">
      <c r="E794" s="17"/>
    </row>
    <row r="795" spans="5:5" ht="15.75" thickBot="1" x14ac:dyDescent="0.3">
      <c r="E795" s="17"/>
    </row>
    <row r="796" spans="5:5" ht="15.75" thickBot="1" x14ac:dyDescent="0.3">
      <c r="E796" s="17"/>
    </row>
    <row r="797" spans="5:5" ht="15.75" thickBot="1" x14ac:dyDescent="0.3">
      <c r="E797" s="17"/>
    </row>
    <row r="798" spans="5:5" ht="15.75" thickBot="1" x14ac:dyDescent="0.3">
      <c r="E798" s="17"/>
    </row>
    <row r="799" spans="5:5" ht="15.75" thickBot="1" x14ac:dyDescent="0.3">
      <c r="E799" s="17"/>
    </row>
    <row r="800" spans="5:5" ht="15.75" thickBot="1" x14ac:dyDescent="0.3">
      <c r="E800" s="17"/>
    </row>
    <row r="801" spans="5:5" ht="15.75" thickBot="1" x14ac:dyDescent="0.3">
      <c r="E801" s="17"/>
    </row>
    <row r="802" spans="5:5" ht="15.75" thickBot="1" x14ac:dyDescent="0.3">
      <c r="E802" s="17"/>
    </row>
    <row r="803" spans="5:5" ht="15.75" thickBot="1" x14ac:dyDescent="0.3">
      <c r="E803" s="17"/>
    </row>
    <row r="804" spans="5:5" ht="15.75" thickBot="1" x14ac:dyDescent="0.3">
      <c r="E804" s="17"/>
    </row>
    <row r="805" spans="5:5" ht="15.75" thickBot="1" x14ac:dyDescent="0.3">
      <c r="E805" s="17"/>
    </row>
    <row r="806" spans="5:5" ht="15.75" thickBot="1" x14ac:dyDescent="0.3">
      <c r="E806" s="17"/>
    </row>
    <row r="807" spans="5:5" ht="15.75" thickBot="1" x14ac:dyDescent="0.3">
      <c r="E807" s="17"/>
    </row>
    <row r="808" spans="5:5" ht="15.75" thickBot="1" x14ac:dyDescent="0.3">
      <c r="E808" s="17"/>
    </row>
    <row r="809" spans="5:5" ht="15.75" thickBot="1" x14ac:dyDescent="0.3">
      <c r="E809" s="17"/>
    </row>
    <row r="810" spans="5:5" ht="15.75" thickBot="1" x14ac:dyDescent="0.3">
      <c r="E810" s="17"/>
    </row>
    <row r="811" spans="5:5" ht="15.75" thickBot="1" x14ac:dyDescent="0.3">
      <c r="E811" s="17"/>
    </row>
    <row r="812" spans="5:5" ht="15.75" thickBot="1" x14ac:dyDescent="0.3">
      <c r="E812" s="17"/>
    </row>
    <row r="813" spans="5:5" ht="15.75" thickBot="1" x14ac:dyDescent="0.3">
      <c r="E813" s="17"/>
    </row>
    <row r="814" spans="5:5" ht="15.75" thickBot="1" x14ac:dyDescent="0.3">
      <c r="E814" s="17"/>
    </row>
    <row r="815" spans="5:5" ht="15.75" thickBot="1" x14ac:dyDescent="0.3">
      <c r="E815" s="17"/>
    </row>
    <row r="816" spans="5:5" ht="15.75" thickBot="1" x14ac:dyDescent="0.3">
      <c r="E816" s="17"/>
    </row>
    <row r="817" spans="5:5" ht="15.75" thickBot="1" x14ac:dyDescent="0.3">
      <c r="E817" s="17"/>
    </row>
    <row r="818" spans="5:5" ht="15.75" thickBot="1" x14ac:dyDescent="0.3">
      <c r="E818" s="17"/>
    </row>
    <row r="819" spans="5:5" ht="15.75" thickBot="1" x14ac:dyDescent="0.3">
      <c r="E819" s="17"/>
    </row>
    <row r="820" spans="5:5" ht="15.75" thickBot="1" x14ac:dyDescent="0.3">
      <c r="E820" s="17"/>
    </row>
    <row r="821" spans="5:5" ht="15.75" thickBot="1" x14ac:dyDescent="0.3">
      <c r="E821" s="17"/>
    </row>
    <row r="822" spans="5:5" ht="15.75" thickBot="1" x14ac:dyDescent="0.3">
      <c r="E822" s="17"/>
    </row>
    <row r="823" spans="5:5" ht="15.75" thickBot="1" x14ac:dyDescent="0.3">
      <c r="E823" s="17"/>
    </row>
    <row r="824" spans="5:5" ht="15.75" thickBot="1" x14ac:dyDescent="0.3">
      <c r="E824" s="17"/>
    </row>
    <row r="825" spans="5:5" ht="15.75" thickBot="1" x14ac:dyDescent="0.3">
      <c r="E825" s="17"/>
    </row>
    <row r="826" spans="5:5" ht="15.75" thickBot="1" x14ac:dyDescent="0.3">
      <c r="E826" s="17"/>
    </row>
    <row r="827" spans="5:5" ht="15.75" thickBot="1" x14ac:dyDescent="0.3">
      <c r="E827" s="17"/>
    </row>
    <row r="828" spans="5:5" ht="15.75" thickBot="1" x14ac:dyDescent="0.3">
      <c r="E828" s="17"/>
    </row>
    <row r="829" spans="5:5" ht="15.75" thickBot="1" x14ac:dyDescent="0.3">
      <c r="E829" s="17"/>
    </row>
    <row r="830" spans="5:5" ht="15.75" thickBot="1" x14ac:dyDescent="0.3">
      <c r="E830" s="17"/>
    </row>
    <row r="831" spans="5:5" ht="15.75" thickBot="1" x14ac:dyDescent="0.3">
      <c r="E831" s="17"/>
    </row>
    <row r="832" spans="5:5" ht="15.75" thickBot="1" x14ac:dyDescent="0.3">
      <c r="E832" s="17"/>
    </row>
    <row r="833" spans="5:5" ht="15.75" thickBot="1" x14ac:dyDescent="0.3">
      <c r="E833" s="17"/>
    </row>
    <row r="834" spans="5:5" ht="15.75" thickBot="1" x14ac:dyDescent="0.3">
      <c r="E834" s="17"/>
    </row>
    <row r="835" spans="5:5" ht="15.75" thickBot="1" x14ac:dyDescent="0.3">
      <c r="E835" s="17"/>
    </row>
    <row r="836" spans="5:5" ht="15.75" thickBot="1" x14ac:dyDescent="0.3">
      <c r="E836" s="17"/>
    </row>
    <row r="837" spans="5:5" ht="15.75" thickBot="1" x14ac:dyDescent="0.3">
      <c r="E837" s="17"/>
    </row>
    <row r="838" spans="5:5" ht="15.75" thickBot="1" x14ac:dyDescent="0.3">
      <c r="E838" s="17"/>
    </row>
    <row r="839" spans="5:5" ht="15.75" thickBot="1" x14ac:dyDescent="0.3">
      <c r="E839" s="17"/>
    </row>
    <row r="840" spans="5:5" ht="15.75" thickBot="1" x14ac:dyDescent="0.3">
      <c r="E840" s="17"/>
    </row>
    <row r="841" spans="5:5" ht="15.75" thickBot="1" x14ac:dyDescent="0.3">
      <c r="E841" s="17"/>
    </row>
    <row r="842" spans="5:5" ht="15.75" thickBot="1" x14ac:dyDescent="0.3">
      <c r="E842" s="17"/>
    </row>
    <row r="843" spans="5:5" ht="15.75" thickBot="1" x14ac:dyDescent="0.3">
      <c r="E843" s="17"/>
    </row>
    <row r="844" spans="5:5" ht="15.75" thickBot="1" x14ac:dyDescent="0.3">
      <c r="E844" s="17"/>
    </row>
    <row r="845" spans="5:5" ht="15.75" thickBot="1" x14ac:dyDescent="0.3">
      <c r="E845" s="17"/>
    </row>
    <row r="846" spans="5:5" ht="15.75" thickBot="1" x14ac:dyDescent="0.3">
      <c r="E846" s="17"/>
    </row>
    <row r="847" spans="5:5" ht="15.75" thickBot="1" x14ac:dyDescent="0.3">
      <c r="E847" s="17"/>
    </row>
    <row r="848" spans="5:5" ht="15.75" thickBot="1" x14ac:dyDescent="0.3">
      <c r="E848" s="17"/>
    </row>
    <row r="849" spans="5:5" ht="15.75" thickBot="1" x14ac:dyDescent="0.3">
      <c r="E849" s="17"/>
    </row>
    <row r="850" spans="5:5" ht="15.75" thickBot="1" x14ac:dyDescent="0.3">
      <c r="E850" s="17"/>
    </row>
    <row r="851" spans="5:5" ht="15.75" thickBot="1" x14ac:dyDescent="0.3">
      <c r="E851" s="17"/>
    </row>
    <row r="852" spans="5:5" ht="15.75" thickBot="1" x14ac:dyDescent="0.3">
      <c r="E852" s="17"/>
    </row>
    <row r="853" spans="5:5" ht="15.75" thickBot="1" x14ac:dyDescent="0.3">
      <c r="E853" s="17"/>
    </row>
    <row r="854" spans="5:5" ht="15.75" thickBot="1" x14ac:dyDescent="0.3">
      <c r="E854" s="17"/>
    </row>
    <row r="855" spans="5:5" ht="15.75" thickBot="1" x14ac:dyDescent="0.3">
      <c r="E855" s="17"/>
    </row>
    <row r="856" spans="5:5" ht="15.75" thickBot="1" x14ac:dyDescent="0.3">
      <c r="E856" s="17"/>
    </row>
    <row r="857" spans="5:5" ht="15.75" thickBot="1" x14ac:dyDescent="0.3">
      <c r="E857" s="17"/>
    </row>
    <row r="858" spans="5:5" ht="15.75" thickBot="1" x14ac:dyDescent="0.3">
      <c r="E858" s="17"/>
    </row>
    <row r="859" spans="5:5" ht="15.75" thickBot="1" x14ac:dyDescent="0.3">
      <c r="E859" s="17"/>
    </row>
    <row r="860" spans="5:5" ht="15.75" thickBot="1" x14ac:dyDescent="0.3">
      <c r="E860" s="17"/>
    </row>
    <row r="861" spans="5:5" ht="15.75" thickBot="1" x14ac:dyDescent="0.3">
      <c r="E861" s="17"/>
    </row>
    <row r="862" spans="5:5" ht="15.75" thickBot="1" x14ac:dyDescent="0.3">
      <c r="E862" s="17"/>
    </row>
    <row r="863" spans="5:5" ht="15.75" thickBot="1" x14ac:dyDescent="0.3">
      <c r="E863" s="17"/>
    </row>
    <row r="864" spans="5:5" ht="15.75" thickBot="1" x14ac:dyDescent="0.3">
      <c r="E864" s="17"/>
    </row>
    <row r="865" spans="5:5" ht="15.75" thickBot="1" x14ac:dyDescent="0.3">
      <c r="E865" s="17"/>
    </row>
    <row r="866" spans="5:5" ht="15.75" thickBot="1" x14ac:dyDescent="0.3">
      <c r="E866" s="17"/>
    </row>
    <row r="867" spans="5:5" ht="15.75" thickBot="1" x14ac:dyDescent="0.3">
      <c r="E867" s="17"/>
    </row>
    <row r="868" spans="5:5" ht="15.75" thickBot="1" x14ac:dyDescent="0.3">
      <c r="E868" s="17"/>
    </row>
    <row r="869" spans="5:5" ht="15.75" thickBot="1" x14ac:dyDescent="0.3">
      <c r="E869" s="17"/>
    </row>
    <row r="870" spans="5:5" ht="15.75" thickBot="1" x14ac:dyDescent="0.3">
      <c r="E870" s="17"/>
    </row>
    <row r="871" spans="5:5" ht="15.75" thickBot="1" x14ac:dyDescent="0.3">
      <c r="E871" s="17"/>
    </row>
    <row r="872" spans="5:5" ht="15.75" thickBot="1" x14ac:dyDescent="0.3">
      <c r="E872" s="17"/>
    </row>
    <row r="873" spans="5:5" ht="15.75" thickBot="1" x14ac:dyDescent="0.3">
      <c r="E873" s="17"/>
    </row>
    <row r="874" spans="5:5" ht="15.75" thickBot="1" x14ac:dyDescent="0.3">
      <c r="E874" s="17"/>
    </row>
    <row r="875" spans="5:5" ht="15.75" thickBot="1" x14ac:dyDescent="0.3">
      <c r="E875" s="17"/>
    </row>
    <row r="876" spans="5:5" ht="15.75" thickBot="1" x14ac:dyDescent="0.3">
      <c r="E876" s="17"/>
    </row>
    <row r="877" spans="5:5" ht="15.75" thickBot="1" x14ac:dyDescent="0.3">
      <c r="E877" s="17"/>
    </row>
    <row r="878" spans="5:5" ht="15.75" thickBot="1" x14ac:dyDescent="0.3">
      <c r="E878" s="17"/>
    </row>
    <row r="879" spans="5:5" ht="15.75" thickBot="1" x14ac:dyDescent="0.3">
      <c r="E879" s="17"/>
    </row>
    <row r="880" spans="5:5" ht="15.75" thickBot="1" x14ac:dyDescent="0.3">
      <c r="E880" s="17"/>
    </row>
    <row r="881" spans="5:5" ht="15.75" thickBot="1" x14ac:dyDescent="0.3">
      <c r="E881" s="17"/>
    </row>
    <row r="882" spans="5:5" ht="15.75" thickBot="1" x14ac:dyDescent="0.3">
      <c r="E882" s="17"/>
    </row>
    <row r="883" spans="5:5" ht="15.75" thickBot="1" x14ac:dyDescent="0.3">
      <c r="E883" s="17"/>
    </row>
    <row r="884" spans="5:5" ht="15.75" thickBot="1" x14ac:dyDescent="0.3">
      <c r="E884" s="17"/>
    </row>
    <row r="885" spans="5:5" ht="15.75" thickBot="1" x14ac:dyDescent="0.3">
      <c r="E885" s="17"/>
    </row>
    <row r="886" spans="5:5" ht="15.75" thickBot="1" x14ac:dyDescent="0.3">
      <c r="E886" s="17"/>
    </row>
    <row r="887" spans="5:5" ht="15.75" thickBot="1" x14ac:dyDescent="0.3">
      <c r="E887" s="17"/>
    </row>
    <row r="888" spans="5:5" ht="15.75" thickBot="1" x14ac:dyDescent="0.3">
      <c r="E888" s="17"/>
    </row>
    <row r="889" spans="5:5" ht="15.75" thickBot="1" x14ac:dyDescent="0.3">
      <c r="E889" s="17"/>
    </row>
    <row r="890" spans="5:5" ht="15.75" thickBot="1" x14ac:dyDescent="0.3">
      <c r="E890" s="17"/>
    </row>
    <row r="891" spans="5:5" ht="15.75" thickBot="1" x14ac:dyDescent="0.3">
      <c r="E891" s="17"/>
    </row>
    <row r="892" spans="5:5" ht="15.75" thickBot="1" x14ac:dyDescent="0.3">
      <c r="E892" s="17"/>
    </row>
    <row r="893" spans="5:5" ht="15.75" thickBot="1" x14ac:dyDescent="0.3">
      <c r="E893" s="17"/>
    </row>
    <row r="894" spans="5:5" ht="15.75" thickBot="1" x14ac:dyDescent="0.3">
      <c r="E894" s="17"/>
    </row>
    <row r="895" spans="5:5" ht="15.75" thickBot="1" x14ac:dyDescent="0.3">
      <c r="E895" s="17"/>
    </row>
    <row r="896" spans="5:5" ht="15.75" thickBot="1" x14ac:dyDescent="0.3">
      <c r="E896" s="17"/>
    </row>
    <row r="897" spans="5:5" ht="15.75" thickBot="1" x14ac:dyDescent="0.3">
      <c r="E897" s="17"/>
    </row>
    <row r="898" spans="5:5" ht="15.75" thickBot="1" x14ac:dyDescent="0.3">
      <c r="E898" s="17"/>
    </row>
    <row r="899" spans="5:5" ht="15.75" thickBot="1" x14ac:dyDescent="0.3">
      <c r="E899" s="17"/>
    </row>
    <row r="900" spans="5:5" ht="15.75" thickBot="1" x14ac:dyDescent="0.3">
      <c r="E900" s="17"/>
    </row>
    <row r="901" spans="5:5" ht="15.75" thickBot="1" x14ac:dyDescent="0.3">
      <c r="E901" s="17"/>
    </row>
    <row r="902" spans="5:5" ht="15.75" thickBot="1" x14ac:dyDescent="0.3">
      <c r="E902" s="17"/>
    </row>
    <row r="903" spans="5:5" ht="15.75" thickBot="1" x14ac:dyDescent="0.3">
      <c r="E903" s="17"/>
    </row>
    <row r="904" spans="5:5" ht="15.75" thickBot="1" x14ac:dyDescent="0.3">
      <c r="E904" s="17"/>
    </row>
    <row r="905" spans="5:5" ht="15.75" thickBot="1" x14ac:dyDescent="0.3">
      <c r="E905" s="17"/>
    </row>
    <row r="906" spans="5:5" ht="15.75" thickBot="1" x14ac:dyDescent="0.3">
      <c r="E906" s="17"/>
    </row>
    <row r="907" spans="5:5" ht="15.75" thickBot="1" x14ac:dyDescent="0.3">
      <c r="E907" s="17"/>
    </row>
    <row r="908" spans="5:5" ht="15.75" thickBot="1" x14ac:dyDescent="0.3">
      <c r="E908" s="17"/>
    </row>
    <row r="909" spans="5:5" ht="15.75" thickBot="1" x14ac:dyDescent="0.3">
      <c r="E909" s="17"/>
    </row>
    <row r="910" spans="5:5" ht="15.75" thickBot="1" x14ac:dyDescent="0.3">
      <c r="E910" s="17"/>
    </row>
    <row r="911" spans="5:5" ht="15.75" thickBot="1" x14ac:dyDescent="0.3">
      <c r="E911" s="17"/>
    </row>
    <row r="912" spans="5:5" ht="15.75" thickBot="1" x14ac:dyDescent="0.3">
      <c r="E912" s="17"/>
    </row>
    <row r="913" spans="5:5" ht="15.75" thickBot="1" x14ac:dyDescent="0.3">
      <c r="E913" s="17"/>
    </row>
    <row r="914" spans="5:5" ht="15.75" thickBot="1" x14ac:dyDescent="0.3">
      <c r="E914" s="17"/>
    </row>
    <row r="915" spans="5:5" ht="15.75" thickBot="1" x14ac:dyDescent="0.3">
      <c r="E915" s="17"/>
    </row>
    <row r="916" spans="5:5" ht="15.75" thickBot="1" x14ac:dyDescent="0.3">
      <c r="E916" s="17"/>
    </row>
    <row r="917" spans="5:5" ht="15.75" thickBot="1" x14ac:dyDescent="0.3">
      <c r="E917" s="17"/>
    </row>
    <row r="918" spans="5:5" ht="15.75" thickBot="1" x14ac:dyDescent="0.3">
      <c r="E918" s="17"/>
    </row>
    <row r="919" spans="5:5" ht="15.75" thickBot="1" x14ac:dyDescent="0.3">
      <c r="E919" s="17"/>
    </row>
    <row r="920" spans="5:5" ht="15.75" thickBot="1" x14ac:dyDescent="0.3">
      <c r="E920" s="17"/>
    </row>
    <row r="921" spans="5:5" ht="15.75" thickBot="1" x14ac:dyDescent="0.3">
      <c r="E921" s="17"/>
    </row>
    <row r="922" spans="5:5" ht="15.75" thickBot="1" x14ac:dyDescent="0.3">
      <c r="E922" s="17"/>
    </row>
    <row r="923" spans="5:5" ht="15.75" thickBot="1" x14ac:dyDescent="0.3">
      <c r="E923" s="17"/>
    </row>
    <row r="924" spans="5:5" ht="15.75" thickBot="1" x14ac:dyDescent="0.3">
      <c r="E924" s="17"/>
    </row>
    <row r="925" spans="5:5" ht="15.75" thickBot="1" x14ac:dyDescent="0.3">
      <c r="E925" s="17"/>
    </row>
    <row r="926" spans="5:5" ht="15.75" thickBot="1" x14ac:dyDescent="0.3">
      <c r="E926" s="17"/>
    </row>
    <row r="927" spans="5:5" ht="15.75" thickBot="1" x14ac:dyDescent="0.3">
      <c r="E927" s="17"/>
    </row>
    <row r="928" spans="5:5" ht="15.75" thickBot="1" x14ac:dyDescent="0.3">
      <c r="E928" s="17"/>
    </row>
    <row r="929" spans="5:5" ht="15.75" thickBot="1" x14ac:dyDescent="0.3">
      <c r="E929" s="17"/>
    </row>
    <row r="930" spans="5:5" ht="15.75" thickBot="1" x14ac:dyDescent="0.3">
      <c r="E930" s="17"/>
    </row>
    <row r="931" spans="5:5" ht="15.75" thickBot="1" x14ac:dyDescent="0.3">
      <c r="E931" s="17"/>
    </row>
    <row r="932" spans="5:5" ht="15.75" thickBot="1" x14ac:dyDescent="0.3">
      <c r="E932" s="17"/>
    </row>
    <row r="933" spans="5:5" ht="15.75" thickBot="1" x14ac:dyDescent="0.3">
      <c r="E933" s="17"/>
    </row>
    <row r="934" spans="5:5" ht="15.75" thickBot="1" x14ac:dyDescent="0.3">
      <c r="E934" s="17"/>
    </row>
    <row r="935" spans="5:5" ht="15.75" thickBot="1" x14ac:dyDescent="0.3">
      <c r="E935" s="17"/>
    </row>
    <row r="936" spans="5:5" ht="15.75" thickBot="1" x14ac:dyDescent="0.3">
      <c r="E936" s="17"/>
    </row>
    <row r="937" spans="5:5" ht="15.75" thickBot="1" x14ac:dyDescent="0.3">
      <c r="E937" s="17"/>
    </row>
    <row r="938" spans="5:5" ht="15.75" thickBot="1" x14ac:dyDescent="0.3">
      <c r="E938" s="17"/>
    </row>
    <row r="939" spans="5:5" ht="15.75" thickBot="1" x14ac:dyDescent="0.3">
      <c r="E939" s="17"/>
    </row>
    <row r="940" spans="5:5" ht="15.75" thickBot="1" x14ac:dyDescent="0.3">
      <c r="E940" s="17"/>
    </row>
    <row r="941" spans="5:5" ht="15.75" thickBot="1" x14ac:dyDescent="0.3">
      <c r="E941" s="17"/>
    </row>
    <row r="942" spans="5:5" ht="15.75" thickBot="1" x14ac:dyDescent="0.3">
      <c r="E942" s="17"/>
    </row>
    <row r="943" spans="5:5" ht="15.75" thickBot="1" x14ac:dyDescent="0.3">
      <c r="E943" s="17"/>
    </row>
    <row r="944" spans="5:5" ht="15.75" thickBot="1" x14ac:dyDescent="0.3">
      <c r="E944" s="17"/>
    </row>
    <row r="945" spans="5:5" ht="15.75" thickBot="1" x14ac:dyDescent="0.3">
      <c r="E945" s="17"/>
    </row>
    <row r="946" spans="5:5" ht="15.75" thickBot="1" x14ac:dyDescent="0.3">
      <c r="E946" s="17"/>
    </row>
    <row r="947" spans="5:5" ht="15.75" thickBot="1" x14ac:dyDescent="0.3">
      <c r="E947" s="17"/>
    </row>
    <row r="948" spans="5:5" ht="15.75" thickBot="1" x14ac:dyDescent="0.3">
      <c r="E948" s="17"/>
    </row>
    <row r="949" spans="5:5" ht="15.75" thickBot="1" x14ac:dyDescent="0.3">
      <c r="E949" s="17"/>
    </row>
    <row r="950" spans="5:5" ht="15.75" thickBot="1" x14ac:dyDescent="0.3">
      <c r="E950" s="17"/>
    </row>
    <row r="951" spans="5:5" ht="15.75" thickBot="1" x14ac:dyDescent="0.3">
      <c r="E951" s="17"/>
    </row>
    <row r="952" spans="5:5" ht="15.75" thickBot="1" x14ac:dyDescent="0.3">
      <c r="E952" s="17"/>
    </row>
    <row r="953" spans="5:5" ht="15.75" thickBot="1" x14ac:dyDescent="0.3">
      <c r="E953" s="17"/>
    </row>
    <row r="954" spans="5:5" ht="15.75" thickBot="1" x14ac:dyDescent="0.3">
      <c r="E954" s="17"/>
    </row>
    <row r="955" spans="5:5" ht="15.75" thickBot="1" x14ac:dyDescent="0.3">
      <c r="E955" s="17"/>
    </row>
    <row r="956" spans="5:5" ht="15.75" thickBot="1" x14ac:dyDescent="0.3">
      <c r="E956" s="17"/>
    </row>
    <row r="957" spans="5:5" ht="15.75" thickBot="1" x14ac:dyDescent="0.3">
      <c r="E957" s="17"/>
    </row>
    <row r="958" spans="5:5" ht="15.75" thickBot="1" x14ac:dyDescent="0.3">
      <c r="E958" s="17"/>
    </row>
    <row r="959" spans="5:5" ht="15.75" thickBot="1" x14ac:dyDescent="0.3">
      <c r="E959" s="17"/>
    </row>
    <row r="960" spans="5:5" ht="15.75" thickBot="1" x14ac:dyDescent="0.3">
      <c r="E960" s="17"/>
    </row>
    <row r="961" spans="5:5" ht="15.75" thickBot="1" x14ac:dyDescent="0.3">
      <c r="E961" s="17"/>
    </row>
    <row r="962" spans="5:5" ht="15.75" thickBot="1" x14ac:dyDescent="0.3">
      <c r="E962" s="17"/>
    </row>
    <row r="963" spans="5:5" ht="15.75" thickBot="1" x14ac:dyDescent="0.3">
      <c r="E963" s="17"/>
    </row>
    <row r="964" spans="5:5" ht="15.75" thickBot="1" x14ac:dyDescent="0.3">
      <c r="E964" s="17"/>
    </row>
    <row r="965" spans="5:5" ht="15.75" thickBot="1" x14ac:dyDescent="0.3">
      <c r="E965" s="17"/>
    </row>
    <row r="966" spans="5:5" ht="15.75" thickBot="1" x14ac:dyDescent="0.3">
      <c r="E966" s="17"/>
    </row>
    <row r="967" spans="5:5" ht="15.75" thickBot="1" x14ac:dyDescent="0.3">
      <c r="E967" s="17"/>
    </row>
    <row r="968" spans="5:5" ht="15.75" thickBot="1" x14ac:dyDescent="0.3">
      <c r="E968" s="17"/>
    </row>
    <row r="969" spans="5:5" ht="15.75" thickBot="1" x14ac:dyDescent="0.3">
      <c r="E969" s="17"/>
    </row>
    <row r="970" spans="5:5" ht="15.75" thickBot="1" x14ac:dyDescent="0.3">
      <c r="E970" s="17"/>
    </row>
    <row r="971" spans="5:5" ht="15.75" thickBot="1" x14ac:dyDescent="0.3">
      <c r="E971" s="17"/>
    </row>
    <row r="972" spans="5:5" ht="15.75" thickBot="1" x14ac:dyDescent="0.3">
      <c r="E972" s="17"/>
    </row>
    <row r="973" spans="5:5" ht="15.75" thickBot="1" x14ac:dyDescent="0.3">
      <c r="E973" s="17"/>
    </row>
    <row r="974" spans="5:5" ht="15.75" thickBot="1" x14ac:dyDescent="0.3">
      <c r="E974" s="17"/>
    </row>
    <row r="975" spans="5:5" ht="15.75" thickBot="1" x14ac:dyDescent="0.3">
      <c r="E975" s="17"/>
    </row>
    <row r="976" spans="5:5" ht="15.75" thickBot="1" x14ac:dyDescent="0.3">
      <c r="E976" s="17"/>
    </row>
    <row r="977" spans="5:5" ht="15.75" thickBot="1" x14ac:dyDescent="0.3">
      <c r="E977" s="17"/>
    </row>
    <row r="978" spans="5:5" ht="15.75" thickBot="1" x14ac:dyDescent="0.3">
      <c r="E978" s="17"/>
    </row>
    <row r="979" spans="5:5" ht="15.75" thickBot="1" x14ac:dyDescent="0.3">
      <c r="E979" s="17"/>
    </row>
    <row r="980" spans="5:5" ht="15.75" thickBot="1" x14ac:dyDescent="0.3">
      <c r="E980" s="17"/>
    </row>
    <row r="981" spans="5:5" ht="15.75" thickBot="1" x14ac:dyDescent="0.3">
      <c r="E981" s="17"/>
    </row>
    <row r="982" spans="5:5" ht="15.75" thickBot="1" x14ac:dyDescent="0.3">
      <c r="E982" s="17"/>
    </row>
    <row r="983" spans="5:5" ht="15.75" thickBot="1" x14ac:dyDescent="0.3">
      <c r="E983" s="17"/>
    </row>
    <row r="984" spans="5:5" ht="15.75" thickBot="1" x14ac:dyDescent="0.3">
      <c r="E984" s="17"/>
    </row>
    <row r="985" spans="5:5" ht="15.75" thickBot="1" x14ac:dyDescent="0.3">
      <c r="E985" s="17"/>
    </row>
    <row r="986" spans="5:5" ht="15.75" thickBot="1" x14ac:dyDescent="0.3">
      <c r="E986" s="17"/>
    </row>
    <row r="987" spans="5:5" ht="15.75" thickBot="1" x14ac:dyDescent="0.3">
      <c r="E987" s="17"/>
    </row>
    <row r="988" spans="5:5" ht="15.75" thickBot="1" x14ac:dyDescent="0.3">
      <c r="E988" s="17"/>
    </row>
    <row r="989" spans="5:5" ht="15.75" thickBot="1" x14ac:dyDescent="0.3">
      <c r="E989" s="17"/>
    </row>
    <row r="990" spans="5:5" ht="15.75" thickBot="1" x14ac:dyDescent="0.3">
      <c r="E990" s="17"/>
    </row>
    <row r="991" spans="5:5" ht="15.75" thickBot="1" x14ac:dyDescent="0.3">
      <c r="E991" s="17"/>
    </row>
    <row r="992" spans="5:5" ht="15.75" thickBot="1" x14ac:dyDescent="0.3">
      <c r="E992" s="17"/>
    </row>
    <row r="993" spans="5:5" ht="15.75" thickBot="1" x14ac:dyDescent="0.3">
      <c r="E993" s="17"/>
    </row>
    <row r="994" spans="5:5" ht="15.75" thickBot="1" x14ac:dyDescent="0.3">
      <c r="E994" s="17"/>
    </row>
    <row r="995" spans="5:5" ht="15.75" thickBot="1" x14ac:dyDescent="0.3">
      <c r="E995" s="17"/>
    </row>
    <row r="996" spans="5:5" ht="15.75" thickBot="1" x14ac:dyDescent="0.3">
      <c r="E996" s="17"/>
    </row>
    <row r="997" spans="5:5" ht="15.75" thickBot="1" x14ac:dyDescent="0.3">
      <c r="E997" s="17"/>
    </row>
    <row r="998" spans="5:5" ht="15.75" thickBot="1" x14ac:dyDescent="0.3">
      <c r="E998" s="17"/>
    </row>
    <row r="999" spans="5:5" ht="15.75" thickBot="1" x14ac:dyDescent="0.3">
      <c r="E999" s="17"/>
    </row>
    <row r="1000" spans="5:5" ht="15.75" thickBot="1" x14ac:dyDescent="0.3">
      <c r="E1000" s="17"/>
    </row>
  </sheetData>
  <sortState xmlns:xlrd2="http://schemas.microsoft.com/office/spreadsheetml/2017/richdata2" ref="A2:E1000">
    <sortCondition ref="A2:A1000"/>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AA2FF-D873-4085-857C-F2B33AB2F524}">
  <dimension ref="A1:E1000"/>
  <sheetViews>
    <sheetView topLeftCell="A51" workbookViewId="0">
      <selection activeCell="K51" sqref="K51"/>
    </sheetView>
  </sheetViews>
  <sheetFormatPr baseColWidth="10" defaultRowHeight="15" x14ac:dyDescent="0.25"/>
  <cols>
    <col min="1" max="1" width="11.42578125" style="4"/>
    <col min="2" max="4" width="8.7109375" customWidth="1"/>
  </cols>
  <sheetData>
    <row r="1" spans="1:5" ht="15.75" thickBot="1" x14ac:dyDescent="0.3">
      <c r="A1" s="7" t="s">
        <v>1067</v>
      </c>
      <c r="B1" s="5" t="s">
        <v>0</v>
      </c>
      <c r="C1" s="5" t="s">
        <v>51</v>
      </c>
      <c r="D1" s="5" t="s">
        <v>52</v>
      </c>
      <c r="E1" s="16" t="s">
        <v>1016</v>
      </c>
    </row>
    <row r="2" spans="1:5" ht="90.75" thickBot="1" x14ac:dyDescent="0.3">
      <c r="A2" s="4">
        <f>_xlfn.XLOOKUP(E2,Orden_preguntas!$B:$B,Orden_preguntas!$A:$A)</f>
        <v>1</v>
      </c>
      <c r="B2" s="6" t="s">
        <v>613</v>
      </c>
      <c r="C2" s="6">
        <v>1</v>
      </c>
      <c r="D2" s="6" t="s">
        <v>663</v>
      </c>
      <c r="E2" s="17" t="s">
        <v>1027</v>
      </c>
    </row>
    <row r="3" spans="1:5" ht="90.75" thickBot="1" x14ac:dyDescent="0.3">
      <c r="A3" s="4">
        <f>_xlfn.XLOOKUP(E3,Orden_preguntas!$B:$B,Orden_preguntas!$A:$A)</f>
        <v>2</v>
      </c>
      <c r="B3" s="6" t="s">
        <v>606</v>
      </c>
      <c r="C3" s="6">
        <v>1</v>
      </c>
      <c r="D3" s="6" t="s">
        <v>656</v>
      </c>
      <c r="E3" s="17" t="s">
        <v>1032</v>
      </c>
    </row>
    <row r="4" spans="1:5" ht="105.75" thickBot="1" x14ac:dyDescent="0.3">
      <c r="A4" s="4">
        <f>_xlfn.XLOOKUP(E4,Orden_preguntas!$B:$B,Orden_preguntas!$A:$A)</f>
        <v>3</v>
      </c>
      <c r="B4" s="6" t="s">
        <v>605</v>
      </c>
      <c r="C4" s="6">
        <v>1</v>
      </c>
      <c r="D4" s="6" t="s">
        <v>655</v>
      </c>
      <c r="E4" s="17" t="s">
        <v>1022</v>
      </c>
    </row>
    <row r="5" spans="1:5" ht="105.75" thickBot="1" x14ac:dyDescent="0.3">
      <c r="A5" s="4">
        <f>_xlfn.XLOOKUP(E5,Orden_preguntas!$B:$B,Orden_preguntas!$A:$A)</f>
        <v>4</v>
      </c>
      <c r="B5" s="6" t="s">
        <v>617</v>
      </c>
      <c r="C5" s="6">
        <v>1</v>
      </c>
      <c r="D5" s="6" t="s">
        <v>667</v>
      </c>
      <c r="E5" s="17" t="s">
        <v>1036</v>
      </c>
    </row>
    <row r="6" spans="1:5" ht="105.75" thickBot="1" x14ac:dyDescent="0.3">
      <c r="A6" s="4">
        <f>_xlfn.XLOOKUP(E6,Orden_preguntas!$B:$B,Orden_preguntas!$A:$A)</f>
        <v>5</v>
      </c>
      <c r="B6" s="6" t="s">
        <v>615</v>
      </c>
      <c r="C6" s="6">
        <v>0.9</v>
      </c>
      <c r="D6" s="6" t="s">
        <v>665</v>
      </c>
      <c r="E6" s="17" t="s">
        <v>1028</v>
      </c>
    </row>
    <row r="7" spans="1:5" ht="90.75" thickBot="1" x14ac:dyDescent="0.3">
      <c r="A7" s="4">
        <f>_xlfn.XLOOKUP(E7,Orden_preguntas!$B:$B,Orden_preguntas!$A:$A)</f>
        <v>6</v>
      </c>
      <c r="B7" s="6" t="s">
        <v>604</v>
      </c>
      <c r="C7" s="6">
        <v>1</v>
      </c>
      <c r="D7" s="6" t="s">
        <v>654</v>
      </c>
      <c r="E7" s="17" t="s">
        <v>1024</v>
      </c>
    </row>
    <row r="8" spans="1:5" ht="120.75" thickBot="1" x14ac:dyDescent="0.3">
      <c r="A8" s="4">
        <f>_xlfn.XLOOKUP(E8,Orden_preguntas!$B:$B,Orden_preguntas!$A:$A)</f>
        <v>7</v>
      </c>
      <c r="B8" s="6" t="s">
        <v>618</v>
      </c>
      <c r="C8" s="6">
        <v>1</v>
      </c>
      <c r="D8" s="6" t="s">
        <v>668</v>
      </c>
      <c r="E8" s="17" t="s">
        <v>1030</v>
      </c>
    </row>
    <row r="9" spans="1:5" ht="105.75" thickBot="1" x14ac:dyDescent="0.3">
      <c r="A9" s="4">
        <f>_xlfn.XLOOKUP(E9,Orden_preguntas!$B:$B,Orden_preguntas!$A:$A)</f>
        <v>8</v>
      </c>
      <c r="B9" s="6" t="s">
        <v>603</v>
      </c>
      <c r="C9" s="6">
        <v>1</v>
      </c>
      <c r="D9" s="6" t="s">
        <v>653</v>
      </c>
      <c r="E9" s="17" t="s">
        <v>1020</v>
      </c>
    </row>
    <row r="10" spans="1:5" ht="90.75" thickBot="1" x14ac:dyDescent="0.3">
      <c r="A10" s="4">
        <f>_xlfn.XLOOKUP(E10,Orden_preguntas!$B:$B,Orden_preguntas!$A:$A)</f>
        <v>9</v>
      </c>
      <c r="B10" s="6" t="s">
        <v>616</v>
      </c>
      <c r="C10" s="6">
        <v>1</v>
      </c>
      <c r="D10" s="6" t="s">
        <v>666</v>
      </c>
      <c r="E10" s="17" t="s">
        <v>1034</v>
      </c>
    </row>
    <row r="11" spans="1:5" ht="90.75" thickBot="1" x14ac:dyDescent="0.3">
      <c r="A11" s="4">
        <f>_xlfn.XLOOKUP(E11,Orden_preguntas!$B:$B,Orden_preguntas!$A:$A)</f>
        <v>10</v>
      </c>
      <c r="B11" s="6" t="s">
        <v>621</v>
      </c>
      <c r="C11" s="6">
        <v>0.9</v>
      </c>
      <c r="D11" s="6" t="s">
        <v>671</v>
      </c>
      <c r="E11" s="17" t="s">
        <v>1035</v>
      </c>
    </row>
    <row r="12" spans="1:5" ht="135.75" thickBot="1" x14ac:dyDescent="0.3">
      <c r="A12" s="4">
        <f>_xlfn.XLOOKUP(E12,Orden_preguntas!$B:$B,Orden_preguntas!$A:$A)</f>
        <v>11</v>
      </c>
      <c r="B12" s="6" t="s">
        <v>619</v>
      </c>
      <c r="C12" s="6">
        <v>1</v>
      </c>
      <c r="D12" s="6" t="s">
        <v>669</v>
      </c>
      <c r="E12" s="17" t="s">
        <v>1017</v>
      </c>
    </row>
    <row r="13" spans="1:5" ht="120.75" thickBot="1" x14ac:dyDescent="0.3">
      <c r="A13" s="4">
        <f>_xlfn.XLOOKUP(E13,Orden_preguntas!$B:$B,Orden_preguntas!$A:$A)</f>
        <v>12</v>
      </c>
      <c r="B13" s="6" t="s">
        <v>607</v>
      </c>
      <c r="C13" s="6">
        <v>1</v>
      </c>
      <c r="D13" s="6" t="s">
        <v>657</v>
      </c>
      <c r="E13" s="17" t="s">
        <v>1023</v>
      </c>
    </row>
    <row r="14" spans="1:5" ht="135.75" thickBot="1" x14ac:dyDescent="0.3">
      <c r="A14" s="4">
        <f>_xlfn.XLOOKUP(E14,Orden_preguntas!$B:$B,Orden_preguntas!$A:$A)</f>
        <v>13</v>
      </c>
      <c r="B14" s="6" t="s">
        <v>614</v>
      </c>
      <c r="C14" s="6">
        <v>1</v>
      </c>
      <c r="D14" s="6" t="s">
        <v>664</v>
      </c>
      <c r="E14" s="17" t="s">
        <v>1033</v>
      </c>
    </row>
    <row r="15" spans="1:5" ht="105.75" thickBot="1" x14ac:dyDescent="0.3">
      <c r="A15" s="4">
        <f>_xlfn.XLOOKUP(E15,Orden_preguntas!$B:$B,Orden_preguntas!$A:$A)</f>
        <v>14</v>
      </c>
      <c r="B15" s="6" t="s">
        <v>620</v>
      </c>
      <c r="C15" s="6">
        <v>1</v>
      </c>
      <c r="D15" s="6" t="s">
        <v>670</v>
      </c>
      <c r="E15" s="17" t="s">
        <v>1018</v>
      </c>
    </row>
    <row r="16" spans="1:5" ht="150.75" thickBot="1" x14ac:dyDescent="0.3">
      <c r="A16" s="4">
        <f>_xlfn.XLOOKUP(E16,Orden_preguntas!$B:$B,Orden_preguntas!$A:$A)</f>
        <v>15</v>
      </c>
      <c r="B16" s="6" t="s">
        <v>608</v>
      </c>
      <c r="C16" s="6">
        <v>1</v>
      </c>
      <c r="D16" s="6" t="s">
        <v>658</v>
      </c>
      <c r="E16" s="17" t="s">
        <v>1025</v>
      </c>
    </row>
    <row r="17" spans="1:5" ht="105.75" thickBot="1" x14ac:dyDescent="0.3">
      <c r="A17" s="4">
        <f>_xlfn.XLOOKUP(E17,Orden_preguntas!$B:$B,Orden_preguntas!$A:$A)</f>
        <v>16</v>
      </c>
      <c r="B17" s="6" t="s">
        <v>622</v>
      </c>
      <c r="C17" s="6">
        <v>0.3</v>
      </c>
      <c r="D17" s="6" t="s">
        <v>672</v>
      </c>
      <c r="E17" s="17" t="s">
        <v>1019</v>
      </c>
    </row>
    <row r="18" spans="1:5" ht="75.75" thickBot="1" x14ac:dyDescent="0.3">
      <c r="A18" s="4">
        <f>_xlfn.XLOOKUP(E18,Orden_preguntas!$B:$B,Orden_preguntas!$A:$A)</f>
        <v>17</v>
      </c>
      <c r="B18" s="6" t="s">
        <v>609</v>
      </c>
      <c r="C18" s="6">
        <v>1</v>
      </c>
      <c r="D18" s="6" t="s">
        <v>659</v>
      </c>
      <c r="E18" s="17" t="s">
        <v>1026</v>
      </c>
    </row>
    <row r="19" spans="1:5" ht="75.75" thickBot="1" x14ac:dyDescent="0.3">
      <c r="A19" s="4">
        <f>_xlfn.XLOOKUP(E19,Orden_preguntas!$B:$B,Orden_preguntas!$A:$A)</f>
        <v>18</v>
      </c>
      <c r="B19" s="6" t="s">
        <v>612</v>
      </c>
      <c r="C19" s="6">
        <v>0.3</v>
      </c>
      <c r="D19" s="6" t="s">
        <v>662</v>
      </c>
      <c r="E19" s="17" t="s">
        <v>1031</v>
      </c>
    </row>
    <row r="20" spans="1:5" ht="135.75" thickBot="1" x14ac:dyDescent="0.3">
      <c r="A20" s="4">
        <f>_xlfn.XLOOKUP(E20,Orden_preguntas!$B:$B,Orden_preguntas!$A:$A)</f>
        <v>19</v>
      </c>
      <c r="B20" s="6" t="s">
        <v>610</v>
      </c>
      <c r="C20" s="6">
        <v>1</v>
      </c>
      <c r="D20" s="6" t="s">
        <v>660</v>
      </c>
      <c r="E20" s="17" t="s">
        <v>1029</v>
      </c>
    </row>
    <row r="21" spans="1:5" ht="135.75" thickBot="1" x14ac:dyDescent="0.3">
      <c r="A21" s="4">
        <f>_xlfn.XLOOKUP(E21,Orden_preguntas!$B:$B,Orden_preguntas!$A:$A)</f>
        <v>20</v>
      </c>
      <c r="B21" s="6" t="s">
        <v>611</v>
      </c>
      <c r="C21" s="6">
        <v>1</v>
      </c>
      <c r="D21" s="6" t="s">
        <v>661</v>
      </c>
      <c r="E21" s="17" t="s">
        <v>1021</v>
      </c>
    </row>
    <row r="22" spans="1:5" ht="120.75" thickBot="1" x14ac:dyDescent="0.3">
      <c r="A22" s="4">
        <f>_xlfn.XLOOKUP(E22,Orden_preguntas!$B:$B,Orden_preguntas!$A:$A)</f>
        <v>21</v>
      </c>
      <c r="B22" s="6" t="s">
        <v>629</v>
      </c>
      <c r="C22" s="6">
        <v>0.9</v>
      </c>
      <c r="D22" s="6" t="s">
        <v>679</v>
      </c>
      <c r="E22" s="17" t="s">
        <v>1038</v>
      </c>
    </row>
    <row r="23" spans="1:5" ht="150.75" thickBot="1" x14ac:dyDescent="0.3">
      <c r="A23" s="4">
        <f>_xlfn.XLOOKUP(E23,Orden_preguntas!$B:$B,Orden_preguntas!$A:$A)</f>
        <v>22</v>
      </c>
      <c r="B23" s="6" t="s">
        <v>624</v>
      </c>
      <c r="C23" s="6">
        <v>0.9</v>
      </c>
      <c r="D23" s="6" t="s">
        <v>674</v>
      </c>
      <c r="E23" s="17" t="s">
        <v>1048</v>
      </c>
    </row>
    <row r="24" spans="1:5" ht="120.75" thickBot="1" x14ac:dyDescent="0.3">
      <c r="A24" s="4">
        <f>_xlfn.XLOOKUP(E24,Orden_preguntas!$B:$B,Orden_preguntas!$A:$A)</f>
        <v>23</v>
      </c>
      <c r="B24" s="6" t="s">
        <v>625</v>
      </c>
      <c r="C24" s="6">
        <v>1</v>
      </c>
      <c r="D24" s="6" t="s">
        <v>675</v>
      </c>
      <c r="E24" s="17" t="s">
        <v>1056</v>
      </c>
    </row>
    <row r="25" spans="1:5" ht="135.75" thickBot="1" x14ac:dyDescent="0.3">
      <c r="A25" s="4">
        <f>_xlfn.XLOOKUP(E25,Orden_preguntas!$B:$B,Orden_preguntas!$A:$A)</f>
        <v>24</v>
      </c>
      <c r="B25" s="6" t="s">
        <v>623</v>
      </c>
      <c r="C25" s="6">
        <v>1</v>
      </c>
      <c r="D25" s="6" t="s">
        <v>673</v>
      </c>
      <c r="E25" s="17" t="s">
        <v>1037</v>
      </c>
    </row>
    <row r="26" spans="1:5" ht="120.75" thickBot="1" x14ac:dyDescent="0.3">
      <c r="A26" s="4">
        <f>_xlfn.XLOOKUP(E26,Orden_preguntas!$B:$B,Orden_preguntas!$A:$A)</f>
        <v>25</v>
      </c>
      <c r="B26" s="6" t="s">
        <v>638</v>
      </c>
      <c r="C26" s="6">
        <v>0.4</v>
      </c>
      <c r="D26" s="6" t="s">
        <v>688</v>
      </c>
      <c r="E26" s="17" t="s">
        <v>1039</v>
      </c>
    </row>
    <row r="27" spans="1:5" ht="135.75" thickBot="1" x14ac:dyDescent="0.3">
      <c r="A27" s="4">
        <f>_xlfn.XLOOKUP(E27,Orden_preguntas!$B:$B,Orden_preguntas!$A:$A)</f>
        <v>26</v>
      </c>
      <c r="B27" s="6" t="s">
        <v>626</v>
      </c>
      <c r="C27" s="6">
        <v>1</v>
      </c>
      <c r="D27" s="6" t="s">
        <v>676</v>
      </c>
      <c r="E27" s="17" t="s">
        <v>1041</v>
      </c>
    </row>
    <row r="28" spans="1:5" ht="105.75" thickBot="1" x14ac:dyDescent="0.3">
      <c r="A28" s="4">
        <f>_xlfn.XLOOKUP(E28,Orden_preguntas!$B:$B,Orden_preguntas!$A:$A)</f>
        <v>27</v>
      </c>
      <c r="B28" s="6" t="s">
        <v>636</v>
      </c>
      <c r="C28" s="6">
        <v>1</v>
      </c>
      <c r="D28" s="6" t="s">
        <v>686</v>
      </c>
      <c r="E28" s="17" t="s">
        <v>1040</v>
      </c>
    </row>
    <row r="29" spans="1:5" ht="105.75" thickBot="1" x14ac:dyDescent="0.3">
      <c r="A29" s="4">
        <f>_xlfn.XLOOKUP(E29,Orden_preguntas!$B:$B,Orden_preguntas!$A:$A)</f>
        <v>28</v>
      </c>
      <c r="B29" s="6" t="s">
        <v>634</v>
      </c>
      <c r="C29" s="6">
        <v>1</v>
      </c>
      <c r="D29" s="6" t="s">
        <v>684</v>
      </c>
      <c r="E29" s="17" t="s">
        <v>1042</v>
      </c>
    </row>
    <row r="30" spans="1:5" ht="135.75" thickBot="1" x14ac:dyDescent="0.3">
      <c r="A30" s="4">
        <f>_xlfn.XLOOKUP(E30,Orden_preguntas!$B:$B,Orden_preguntas!$A:$A)</f>
        <v>29</v>
      </c>
      <c r="B30" s="6" t="s">
        <v>644</v>
      </c>
      <c r="C30" s="6">
        <v>0.7</v>
      </c>
      <c r="D30" s="6" t="s">
        <v>694</v>
      </c>
      <c r="E30" s="17" t="s">
        <v>1043</v>
      </c>
    </row>
    <row r="31" spans="1:5" ht="150.75" thickBot="1" x14ac:dyDescent="0.3">
      <c r="A31" s="4">
        <f>_xlfn.XLOOKUP(E31,Orden_preguntas!$B:$B,Orden_preguntas!$A:$A)</f>
        <v>30</v>
      </c>
      <c r="B31" s="6" t="s">
        <v>627</v>
      </c>
      <c r="C31" s="6">
        <v>1</v>
      </c>
      <c r="D31" s="6" t="s">
        <v>677</v>
      </c>
      <c r="E31" s="17" t="s">
        <v>1045</v>
      </c>
    </row>
    <row r="32" spans="1:5" ht="150.75" thickBot="1" x14ac:dyDescent="0.3">
      <c r="A32" s="4">
        <f>_xlfn.XLOOKUP(E32,Orden_preguntas!$B:$B,Orden_preguntas!$A:$A)</f>
        <v>31</v>
      </c>
      <c r="B32" s="6" t="s">
        <v>631</v>
      </c>
      <c r="C32" s="6">
        <v>1</v>
      </c>
      <c r="D32" s="6" t="s">
        <v>681</v>
      </c>
      <c r="E32" s="17" t="s">
        <v>1051</v>
      </c>
    </row>
    <row r="33" spans="1:5" ht="180.75" thickBot="1" x14ac:dyDescent="0.3">
      <c r="A33" s="4">
        <f>_xlfn.XLOOKUP(E33,Orden_preguntas!$B:$B,Orden_preguntas!$A:$A)</f>
        <v>32</v>
      </c>
      <c r="B33" s="6" t="s">
        <v>635</v>
      </c>
      <c r="C33" s="6">
        <v>1</v>
      </c>
      <c r="D33" s="6" t="s">
        <v>685</v>
      </c>
      <c r="E33" s="17" t="s">
        <v>1047</v>
      </c>
    </row>
    <row r="34" spans="1:5" ht="165.75" thickBot="1" x14ac:dyDescent="0.3">
      <c r="A34" s="4">
        <f>_xlfn.XLOOKUP(E34,Orden_preguntas!$B:$B,Orden_preguntas!$A:$A)</f>
        <v>33</v>
      </c>
      <c r="B34" s="6" t="s">
        <v>633</v>
      </c>
      <c r="C34" s="6">
        <v>0.9</v>
      </c>
      <c r="D34" s="6" t="s">
        <v>683</v>
      </c>
      <c r="E34" s="17" t="s">
        <v>1053</v>
      </c>
    </row>
    <row r="35" spans="1:5" ht="120.75" thickBot="1" x14ac:dyDescent="0.3">
      <c r="A35" s="4">
        <f>_xlfn.XLOOKUP(E35,Orden_preguntas!$B:$B,Orden_preguntas!$A:$A)</f>
        <v>34</v>
      </c>
      <c r="B35" s="6" t="s">
        <v>630</v>
      </c>
      <c r="C35" s="6">
        <v>1</v>
      </c>
      <c r="D35" s="6" t="s">
        <v>680</v>
      </c>
      <c r="E35" s="17" t="s">
        <v>1057</v>
      </c>
    </row>
    <row r="36" spans="1:5" ht="165.75" thickBot="1" x14ac:dyDescent="0.3">
      <c r="A36" s="4">
        <f>_xlfn.XLOOKUP(E36,Orden_preguntas!$B:$B,Orden_preguntas!$A:$A)</f>
        <v>35</v>
      </c>
      <c r="B36" s="6" t="s">
        <v>637</v>
      </c>
      <c r="C36" s="6">
        <v>0.9</v>
      </c>
      <c r="D36" s="6" t="s">
        <v>687</v>
      </c>
      <c r="E36" s="17" t="s">
        <v>1046</v>
      </c>
    </row>
    <row r="37" spans="1:5" ht="135.75" thickBot="1" x14ac:dyDescent="0.3">
      <c r="A37" s="4">
        <f>_xlfn.XLOOKUP(E37,Orden_preguntas!$B:$B,Orden_preguntas!$A:$A)</f>
        <v>36</v>
      </c>
      <c r="B37" s="6" t="s">
        <v>647</v>
      </c>
      <c r="C37" s="6">
        <v>0.4</v>
      </c>
      <c r="D37" s="6" t="s">
        <v>697</v>
      </c>
      <c r="E37" s="17" t="s">
        <v>1049</v>
      </c>
    </row>
    <row r="38" spans="1:5" ht="135.75" thickBot="1" x14ac:dyDescent="0.3">
      <c r="A38" s="4">
        <f>_xlfn.XLOOKUP(E38,Orden_preguntas!$B:$B,Orden_preguntas!$A:$A)</f>
        <v>37</v>
      </c>
      <c r="B38" s="6" t="s">
        <v>628</v>
      </c>
      <c r="C38" s="6">
        <v>0.9</v>
      </c>
      <c r="D38" s="6" t="s">
        <v>678</v>
      </c>
      <c r="E38" s="17" t="s">
        <v>1052</v>
      </c>
    </row>
    <row r="39" spans="1:5" ht="105.75" thickBot="1" x14ac:dyDescent="0.3">
      <c r="A39" s="4">
        <f>_xlfn.XLOOKUP(E39,Orden_preguntas!$B:$B,Orden_preguntas!$A:$A)</f>
        <v>38</v>
      </c>
      <c r="B39" s="6" t="s">
        <v>632</v>
      </c>
      <c r="C39" s="6">
        <v>1</v>
      </c>
      <c r="D39" s="6" t="s">
        <v>682</v>
      </c>
      <c r="E39" s="17" t="s">
        <v>1044</v>
      </c>
    </row>
    <row r="40" spans="1:5" ht="165.75" thickBot="1" x14ac:dyDescent="0.3">
      <c r="A40" s="4">
        <f>_xlfn.XLOOKUP(E40,Orden_preguntas!$B:$B,Orden_preguntas!$A:$A)</f>
        <v>39</v>
      </c>
      <c r="B40" s="6" t="s">
        <v>643</v>
      </c>
      <c r="C40" s="6">
        <v>0.4</v>
      </c>
      <c r="D40" s="6" t="s">
        <v>693</v>
      </c>
      <c r="E40" s="17" t="s">
        <v>1055</v>
      </c>
    </row>
    <row r="41" spans="1:5" ht="165.75" thickBot="1" x14ac:dyDescent="0.3">
      <c r="A41" s="4">
        <f>_xlfn.XLOOKUP(E41,Orden_preguntas!$B:$B,Orden_preguntas!$A:$A)</f>
        <v>40</v>
      </c>
      <c r="B41" s="6" t="s">
        <v>652</v>
      </c>
      <c r="C41" s="6">
        <v>0.9</v>
      </c>
      <c r="D41" s="6" t="s">
        <v>702</v>
      </c>
      <c r="E41" s="17" t="s">
        <v>1050</v>
      </c>
    </row>
    <row r="42" spans="1:5" ht="225.75" thickBot="1" x14ac:dyDescent="0.3">
      <c r="A42" s="4">
        <f>_xlfn.XLOOKUP(E42,Orden_preguntas!$B:$B,Orden_preguntas!$A:$A)</f>
        <v>41</v>
      </c>
      <c r="B42" s="6" t="s">
        <v>640</v>
      </c>
      <c r="C42" s="6">
        <v>1</v>
      </c>
      <c r="D42" s="6" t="s">
        <v>690</v>
      </c>
      <c r="E42" s="17" t="s">
        <v>1054</v>
      </c>
    </row>
    <row r="43" spans="1:5" ht="165.75" thickBot="1" x14ac:dyDescent="0.3">
      <c r="A43" s="4">
        <f>_xlfn.XLOOKUP(E43,Orden_preguntas!$B:$B,Orden_preguntas!$A:$A)</f>
        <v>42</v>
      </c>
      <c r="B43" s="6" t="s">
        <v>639</v>
      </c>
      <c r="C43" s="6">
        <v>1</v>
      </c>
      <c r="D43" s="6" t="s">
        <v>689</v>
      </c>
      <c r="E43" s="17" t="s">
        <v>1065</v>
      </c>
    </row>
    <row r="44" spans="1:5" ht="165.75" thickBot="1" x14ac:dyDescent="0.3">
      <c r="A44" s="4">
        <f>_xlfn.XLOOKUP(E44,Orden_preguntas!$B:$B,Orden_preguntas!$A:$A)</f>
        <v>43</v>
      </c>
      <c r="B44" s="6" t="s">
        <v>645</v>
      </c>
      <c r="C44" s="6">
        <v>1</v>
      </c>
      <c r="D44" s="6" t="s">
        <v>695</v>
      </c>
      <c r="E44" s="17" t="s">
        <v>1059</v>
      </c>
    </row>
    <row r="45" spans="1:5" ht="135.75" thickBot="1" x14ac:dyDescent="0.3">
      <c r="A45" s="4">
        <f>_xlfn.XLOOKUP(E45,Orden_preguntas!$B:$B,Orden_preguntas!$A:$A)</f>
        <v>44</v>
      </c>
      <c r="B45" s="6" t="s">
        <v>642</v>
      </c>
      <c r="C45" s="6">
        <v>1</v>
      </c>
      <c r="D45" s="6" t="s">
        <v>692</v>
      </c>
      <c r="E45" s="17" t="s">
        <v>1058</v>
      </c>
    </row>
    <row r="46" spans="1:5" ht="150.75" thickBot="1" x14ac:dyDescent="0.3">
      <c r="A46" s="4">
        <f>_xlfn.XLOOKUP(E46,Orden_preguntas!$B:$B,Orden_preguntas!$A:$A)</f>
        <v>45</v>
      </c>
      <c r="B46" s="6" t="s">
        <v>641</v>
      </c>
      <c r="C46" s="6">
        <v>1</v>
      </c>
      <c r="D46" s="6" t="s">
        <v>691</v>
      </c>
      <c r="E46" s="17" t="s">
        <v>1061</v>
      </c>
    </row>
    <row r="47" spans="1:5" ht="105.75" thickBot="1" x14ac:dyDescent="0.3">
      <c r="A47" s="4">
        <f>_xlfn.XLOOKUP(E47,Orden_preguntas!$B:$B,Orden_preguntas!$A:$A)</f>
        <v>46</v>
      </c>
      <c r="B47" s="6" t="s">
        <v>648</v>
      </c>
      <c r="C47" s="6">
        <v>0.3</v>
      </c>
      <c r="D47" s="6" t="s">
        <v>698</v>
      </c>
      <c r="E47" s="17" t="s">
        <v>1060</v>
      </c>
    </row>
    <row r="48" spans="1:5" ht="135.75" thickBot="1" x14ac:dyDescent="0.3">
      <c r="A48" s="4">
        <f>_xlfn.XLOOKUP(E48,Orden_preguntas!$B:$B,Orden_preguntas!$A:$A)</f>
        <v>47</v>
      </c>
      <c r="B48" s="6" t="s">
        <v>649</v>
      </c>
      <c r="C48" s="6">
        <v>0.6</v>
      </c>
      <c r="D48" s="6" t="s">
        <v>699</v>
      </c>
      <c r="E48" s="17" t="s">
        <v>1062</v>
      </c>
    </row>
    <row r="49" spans="1:5" ht="165.75" thickBot="1" x14ac:dyDescent="0.3">
      <c r="A49" s="4">
        <f>_xlfn.XLOOKUP(E49,Orden_preguntas!$B:$B,Orden_preguntas!$A:$A)</f>
        <v>48</v>
      </c>
      <c r="B49" s="6" t="s">
        <v>651</v>
      </c>
      <c r="C49" s="6">
        <v>0.9</v>
      </c>
      <c r="D49" s="6" t="s">
        <v>701</v>
      </c>
      <c r="E49" s="17" t="s">
        <v>1066</v>
      </c>
    </row>
    <row r="50" spans="1:5" ht="195.75" thickBot="1" x14ac:dyDescent="0.3">
      <c r="A50" s="4">
        <f>_xlfn.XLOOKUP(E50,Orden_preguntas!$B:$B,Orden_preguntas!$A:$A)</f>
        <v>49</v>
      </c>
      <c r="B50" s="6" t="s">
        <v>650</v>
      </c>
      <c r="C50" s="6">
        <v>1</v>
      </c>
      <c r="D50" s="6" t="s">
        <v>700</v>
      </c>
      <c r="E50" s="17" t="s">
        <v>1063</v>
      </c>
    </row>
    <row r="51" spans="1:5" ht="210.75" thickBot="1" x14ac:dyDescent="0.3">
      <c r="A51" s="4">
        <f>_xlfn.XLOOKUP(E51,Orden_preguntas!$B:$B,Orden_preguntas!$A:$A)</f>
        <v>50</v>
      </c>
      <c r="B51" s="6" t="s">
        <v>646</v>
      </c>
      <c r="C51" s="6">
        <v>1</v>
      </c>
      <c r="D51" s="6" t="s">
        <v>696</v>
      </c>
      <c r="E51" s="17" t="s">
        <v>1064</v>
      </c>
    </row>
    <row r="52" spans="1:5" ht="15.75" thickBot="1" x14ac:dyDescent="0.3">
      <c r="E52" s="17"/>
    </row>
    <row r="53" spans="1:5" ht="15.75" thickBot="1" x14ac:dyDescent="0.3">
      <c r="E53" s="17"/>
    </row>
    <row r="54" spans="1:5" ht="15.75" thickBot="1" x14ac:dyDescent="0.3">
      <c r="E54" s="17"/>
    </row>
    <row r="55" spans="1:5" ht="15.75" thickBot="1" x14ac:dyDescent="0.3">
      <c r="E55" s="17"/>
    </row>
    <row r="56" spans="1:5" ht="15.75" thickBot="1" x14ac:dyDescent="0.3">
      <c r="E56" s="17"/>
    </row>
    <row r="57" spans="1:5" ht="15.75" thickBot="1" x14ac:dyDescent="0.3">
      <c r="E57" s="17"/>
    </row>
    <row r="58" spans="1:5" ht="15.75" thickBot="1" x14ac:dyDescent="0.3">
      <c r="E58" s="17"/>
    </row>
    <row r="59" spans="1:5" ht="15.75" thickBot="1" x14ac:dyDescent="0.3">
      <c r="E59" s="17"/>
    </row>
    <row r="60" spans="1:5" ht="15.75" thickBot="1" x14ac:dyDescent="0.3">
      <c r="E60" s="17"/>
    </row>
    <row r="61" spans="1:5" ht="15.75" thickBot="1" x14ac:dyDescent="0.3">
      <c r="E61" s="17"/>
    </row>
    <row r="62" spans="1:5" ht="15.75" thickBot="1" x14ac:dyDescent="0.3">
      <c r="E62" s="17"/>
    </row>
    <row r="63" spans="1:5" ht="15.75" thickBot="1" x14ac:dyDescent="0.3">
      <c r="E63" s="17"/>
    </row>
    <row r="64" spans="1:5" ht="15.75" thickBot="1" x14ac:dyDescent="0.3">
      <c r="E64" s="17"/>
    </row>
    <row r="65" spans="5:5" ht="15.75" thickBot="1" x14ac:dyDescent="0.3">
      <c r="E65" s="17"/>
    </row>
    <row r="66" spans="5:5" ht="15.75" thickBot="1" x14ac:dyDescent="0.3">
      <c r="E66" s="17"/>
    </row>
    <row r="67" spans="5:5" ht="15.75" thickBot="1" x14ac:dyDescent="0.3">
      <c r="E67" s="17"/>
    </row>
    <row r="68" spans="5:5" ht="15.75" thickBot="1" x14ac:dyDescent="0.3">
      <c r="E68" s="17"/>
    </row>
    <row r="69" spans="5:5" ht="15.75" thickBot="1" x14ac:dyDescent="0.3">
      <c r="E69" s="17"/>
    </row>
    <row r="70" spans="5:5" ht="15.75" thickBot="1" x14ac:dyDescent="0.3">
      <c r="E70" s="17"/>
    </row>
    <row r="71" spans="5:5" ht="15.75" thickBot="1" x14ac:dyDescent="0.3">
      <c r="E71" s="17"/>
    </row>
    <row r="72" spans="5:5" ht="15.75" thickBot="1" x14ac:dyDescent="0.3">
      <c r="E72" s="17"/>
    </row>
    <row r="73" spans="5:5" ht="15.75" thickBot="1" x14ac:dyDescent="0.3">
      <c r="E73" s="17"/>
    </row>
    <row r="74" spans="5:5" ht="15.75" thickBot="1" x14ac:dyDescent="0.3">
      <c r="E74" s="17"/>
    </row>
    <row r="75" spans="5:5" ht="15.75" thickBot="1" x14ac:dyDescent="0.3">
      <c r="E75" s="17"/>
    </row>
    <row r="76" spans="5:5" ht="15.75" thickBot="1" x14ac:dyDescent="0.3">
      <c r="E76" s="17"/>
    </row>
    <row r="77" spans="5:5" ht="15.75" thickBot="1" x14ac:dyDescent="0.3">
      <c r="E77" s="17"/>
    </row>
    <row r="78" spans="5:5" ht="15.75" thickBot="1" x14ac:dyDescent="0.3">
      <c r="E78" s="17"/>
    </row>
    <row r="79" spans="5:5" ht="15.75" thickBot="1" x14ac:dyDescent="0.3">
      <c r="E79" s="17"/>
    </row>
    <row r="80" spans="5:5" ht="15.75" thickBot="1" x14ac:dyDescent="0.3">
      <c r="E80" s="17"/>
    </row>
    <row r="81" spans="5:5" ht="15.75" thickBot="1" x14ac:dyDescent="0.3">
      <c r="E81" s="17"/>
    </row>
    <row r="82" spans="5:5" ht="15.75" thickBot="1" x14ac:dyDescent="0.3">
      <c r="E82" s="17"/>
    </row>
    <row r="83" spans="5:5" ht="15.75" thickBot="1" x14ac:dyDescent="0.3">
      <c r="E83" s="17"/>
    </row>
    <row r="84" spans="5:5" ht="15.75" thickBot="1" x14ac:dyDescent="0.3">
      <c r="E84" s="17"/>
    </row>
    <row r="85" spans="5:5" ht="15.75" thickBot="1" x14ac:dyDescent="0.3">
      <c r="E85" s="17"/>
    </row>
    <row r="86" spans="5:5" ht="15.75" thickBot="1" x14ac:dyDescent="0.3">
      <c r="E86" s="17"/>
    </row>
    <row r="87" spans="5:5" ht="15.75" thickBot="1" x14ac:dyDescent="0.3">
      <c r="E87" s="17"/>
    </row>
    <row r="88" spans="5:5" ht="15.75" thickBot="1" x14ac:dyDescent="0.3">
      <c r="E88" s="17"/>
    </row>
    <row r="89" spans="5:5" ht="15.75" thickBot="1" x14ac:dyDescent="0.3">
      <c r="E89" s="17"/>
    </row>
    <row r="90" spans="5:5" ht="15.75" thickBot="1" x14ac:dyDescent="0.3">
      <c r="E90" s="17"/>
    </row>
    <row r="91" spans="5:5" ht="15.75" thickBot="1" x14ac:dyDescent="0.3">
      <c r="E91" s="17"/>
    </row>
    <row r="92" spans="5:5" ht="15.75" thickBot="1" x14ac:dyDescent="0.3">
      <c r="E92" s="17"/>
    </row>
    <row r="93" spans="5:5" ht="15.75" thickBot="1" x14ac:dyDescent="0.3">
      <c r="E93" s="17"/>
    </row>
    <row r="94" spans="5:5" ht="15.75" thickBot="1" x14ac:dyDescent="0.3">
      <c r="E94" s="17"/>
    </row>
    <row r="95" spans="5:5" ht="15.75" thickBot="1" x14ac:dyDescent="0.3">
      <c r="E95" s="17"/>
    </row>
    <row r="96" spans="5:5" ht="15.75" thickBot="1" x14ac:dyDescent="0.3">
      <c r="E96" s="17"/>
    </row>
    <row r="97" spans="5:5" ht="15.75" thickBot="1" x14ac:dyDescent="0.3">
      <c r="E97" s="17"/>
    </row>
    <row r="98" spans="5:5" ht="15.75" thickBot="1" x14ac:dyDescent="0.3">
      <c r="E98" s="17"/>
    </row>
    <row r="99" spans="5:5" ht="15.75" thickBot="1" x14ac:dyDescent="0.3">
      <c r="E99" s="17"/>
    </row>
    <row r="100" spans="5:5" ht="15.75" thickBot="1" x14ac:dyDescent="0.3">
      <c r="E100" s="17"/>
    </row>
    <row r="101" spans="5:5" ht="15.75" thickBot="1" x14ac:dyDescent="0.3">
      <c r="E101" s="17"/>
    </row>
    <row r="102" spans="5:5" ht="15.75" thickBot="1" x14ac:dyDescent="0.3">
      <c r="E102" s="17"/>
    </row>
    <row r="103" spans="5:5" ht="15.75" thickBot="1" x14ac:dyDescent="0.3">
      <c r="E103" s="17"/>
    </row>
    <row r="104" spans="5:5" ht="15.75" thickBot="1" x14ac:dyDescent="0.3">
      <c r="E104" s="17"/>
    </row>
    <row r="105" spans="5:5" ht="15.75" thickBot="1" x14ac:dyDescent="0.3">
      <c r="E105" s="17"/>
    </row>
    <row r="106" spans="5:5" ht="15.75" thickBot="1" x14ac:dyDescent="0.3">
      <c r="E106" s="17"/>
    </row>
    <row r="107" spans="5:5" ht="15.75" thickBot="1" x14ac:dyDescent="0.3">
      <c r="E107" s="17"/>
    </row>
    <row r="108" spans="5:5" ht="15.75" thickBot="1" x14ac:dyDescent="0.3">
      <c r="E108" s="17"/>
    </row>
    <row r="109" spans="5:5" ht="15.75" thickBot="1" x14ac:dyDescent="0.3">
      <c r="E109" s="17"/>
    </row>
    <row r="110" spans="5:5" ht="15.75" thickBot="1" x14ac:dyDescent="0.3">
      <c r="E110" s="17"/>
    </row>
    <row r="111" spans="5:5" ht="15.75" thickBot="1" x14ac:dyDescent="0.3">
      <c r="E111" s="17"/>
    </row>
    <row r="112" spans="5:5" ht="15.75" thickBot="1" x14ac:dyDescent="0.3">
      <c r="E112" s="17"/>
    </row>
    <row r="113" spans="5:5" ht="15.75" thickBot="1" x14ac:dyDescent="0.3">
      <c r="E113" s="17"/>
    </row>
    <row r="114" spans="5:5" ht="15.75" thickBot="1" x14ac:dyDescent="0.3">
      <c r="E114" s="17"/>
    </row>
    <row r="115" spans="5:5" ht="15.75" thickBot="1" x14ac:dyDescent="0.3">
      <c r="E115" s="17"/>
    </row>
    <row r="116" spans="5:5" ht="15.75" thickBot="1" x14ac:dyDescent="0.3">
      <c r="E116" s="17"/>
    </row>
    <row r="117" spans="5:5" ht="15.75" thickBot="1" x14ac:dyDescent="0.3">
      <c r="E117" s="17"/>
    </row>
    <row r="118" spans="5:5" ht="15.75" thickBot="1" x14ac:dyDescent="0.3">
      <c r="E118" s="17"/>
    </row>
    <row r="119" spans="5:5" ht="15.75" thickBot="1" x14ac:dyDescent="0.3">
      <c r="E119" s="17"/>
    </row>
    <row r="120" spans="5:5" ht="15.75" thickBot="1" x14ac:dyDescent="0.3">
      <c r="E120" s="17"/>
    </row>
    <row r="121" spans="5:5" ht="15.75" thickBot="1" x14ac:dyDescent="0.3">
      <c r="E121" s="17"/>
    </row>
    <row r="122" spans="5:5" ht="15.75" thickBot="1" x14ac:dyDescent="0.3">
      <c r="E122" s="17"/>
    </row>
    <row r="123" spans="5:5" ht="15.75" thickBot="1" x14ac:dyDescent="0.3">
      <c r="E123" s="17"/>
    </row>
    <row r="124" spans="5:5" ht="15.75" thickBot="1" x14ac:dyDescent="0.3">
      <c r="E124" s="17"/>
    </row>
    <row r="125" spans="5:5" ht="15.75" thickBot="1" x14ac:dyDescent="0.3">
      <c r="E125" s="17"/>
    </row>
    <row r="126" spans="5:5" ht="15.75" thickBot="1" x14ac:dyDescent="0.3">
      <c r="E126" s="17"/>
    </row>
    <row r="127" spans="5:5" ht="15.75" thickBot="1" x14ac:dyDescent="0.3">
      <c r="E127" s="17"/>
    </row>
    <row r="128" spans="5:5" ht="15.75" thickBot="1" x14ac:dyDescent="0.3">
      <c r="E128" s="17"/>
    </row>
    <row r="129" spans="5:5" ht="15.75" thickBot="1" x14ac:dyDescent="0.3">
      <c r="E129" s="17"/>
    </row>
    <row r="130" spans="5:5" ht="15.75" thickBot="1" x14ac:dyDescent="0.3">
      <c r="E130" s="17"/>
    </row>
    <row r="131" spans="5:5" ht="15.75" thickBot="1" x14ac:dyDescent="0.3">
      <c r="E131" s="17"/>
    </row>
    <row r="132" spans="5:5" ht="15.75" thickBot="1" x14ac:dyDescent="0.3">
      <c r="E132" s="17"/>
    </row>
    <row r="133" spans="5:5" ht="15.75" thickBot="1" x14ac:dyDescent="0.3">
      <c r="E133" s="17"/>
    </row>
    <row r="134" spans="5:5" ht="15.75" thickBot="1" x14ac:dyDescent="0.3">
      <c r="E134" s="17"/>
    </row>
    <row r="135" spans="5:5" ht="15.75" thickBot="1" x14ac:dyDescent="0.3">
      <c r="E135" s="17"/>
    </row>
    <row r="136" spans="5:5" ht="15.75" thickBot="1" x14ac:dyDescent="0.3">
      <c r="E136" s="17"/>
    </row>
    <row r="137" spans="5:5" ht="15.75" thickBot="1" x14ac:dyDescent="0.3">
      <c r="E137" s="17"/>
    </row>
    <row r="138" spans="5:5" ht="15.75" thickBot="1" x14ac:dyDescent="0.3">
      <c r="E138" s="17"/>
    </row>
    <row r="139" spans="5:5" ht="15.75" thickBot="1" x14ac:dyDescent="0.3">
      <c r="E139" s="17"/>
    </row>
    <row r="140" spans="5:5" ht="15.75" thickBot="1" x14ac:dyDescent="0.3">
      <c r="E140" s="17"/>
    </row>
    <row r="141" spans="5:5" ht="15.75" thickBot="1" x14ac:dyDescent="0.3">
      <c r="E141" s="17"/>
    </row>
    <row r="142" spans="5:5" ht="15.75" thickBot="1" x14ac:dyDescent="0.3">
      <c r="E142" s="17"/>
    </row>
    <row r="143" spans="5:5" ht="15.75" thickBot="1" x14ac:dyDescent="0.3">
      <c r="E143" s="17"/>
    </row>
    <row r="144" spans="5:5" ht="15.75" thickBot="1" x14ac:dyDescent="0.3">
      <c r="E144" s="17"/>
    </row>
    <row r="145" spans="5:5" ht="15.75" thickBot="1" x14ac:dyDescent="0.3">
      <c r="E145" s="17"/>
    </row>
    <row r="146" spans="5:5" ht="15.75" thickBot="1" x14ac:dyDescent="0.3">
      <c r="E146" s="17"/>
    </row>
    <row r="147" spans="5:5" ht="15.75" thickBot="1" x14ac:dyDescent="0.3">
      <c r="E147" s="17"/>
    </row>
    <row r="148" spans="5:5" ht="15.75" thickBot="1" x14ac:dyDescent="0.3">
      <c r="E148" s="17"/>
    </row>
    <row r="149" spans="5:5" ht="15.75" thickBot="1" x14ac:dyDescent="0.3">
      <c r="E149" s="17"/>
    </row>
    <row r="150" spans="5:5" ht="15.75" thickBot="1" x14ac:dyDescent="0.3">
      <c r="E150" s="17"/>
    </row>
    <row r="151" spans="5:5" ht="15.75" thickBot="1" x14ac:dyDescent="0.3">
      <c r="E151" s="17"/>
    </row>
    <row r="152" spans="5:5" ht="15.75" thickBot="1" x14ac:dyDescent="0.3">
      <c r="E152" s="17"/>
    </row>
    <row r="153" spans="5:5" ht="15.75" thickBot="1" x14ac:dyDescent="0.3">
      <c r="E153" s="17"/>
    </row>
    <row r="154" spans="5:5" ht="15.75" thickBot="1" x14ac:dyDescent="0.3">
      <c r="E154" s="17"/>
    </row>
    <row r="155" spans="5:5" ht="15.75" thickBot="1" x14ac:dyDescent="0.3">
      <c r="E155" s="17"/>
    </row>
    <row r="156" spans="5:5" ht="15.75" thickBot="1" x14ac:dyDescent="0.3">
      <c r="E156" s="17"/>
    </row>
    <row r="157" spans="5:5" ht="15.75" thickBot="1" x14ac:dyDescent="0.3">
      <c r="E157" s="17"/>
    </row>
    <row r="158" spans="5:5" ht="15.75" thickBot="1" x14ac:dyDescent="0.3">
      <c r="E158" s="17"/>
    </row>
    <row r="159" spans="5:5" ht="15.75" thickBot="1" x14ac:dyDescent="0.3">
      <c r="E159" s="17"/>
    </row>
    <row r="160" spans="5:5" ht="15.75" thickBot="1" x14ac:dyDescent="0.3">
      <c r="E160" s="17"/>
    </row>
    <row r="161" spans="5:5" ht="15.75" thickBot="1" x14ac:dyDescent="0.3">
      <c r="E161" s="17"/>
    </row>
    <row r="162" spans="5:5" ht="15.75" thickBot="1" x14ac:dyDescent="0.3">
      <c r="E162" s="17"/>
    </row>
    <row r="163" spans="5:5" ht="15.75" thickBot="1" x14ac:dyDescent="0.3">
      <c r="E163" s="17"/>
    </row>
    <row r="164" spans="5:5" ht="15.75" thickBot="1" x14ac:dyDescent="0.3">
      <c r="E164" s="17"/>
    </row>
    <row r="165" spans="5:5" ht="15.75" thickBot="1" x14ac:dyDescent="0.3">
      <c r="E165" s="17"/>
    </row>
    <row r="166" spans="5:5" ht="15.75" thickBot="1" x14ac:dyDescent="0.3">
      <c r="E166" s="17"/>
    </row>
    <row r="167" spans="5:5" ht="15.75" thickBot="1" x14ac:dyDescent="0.3">
      <c r="E167" s="17"/>
    </row>
    <row r="168" spans="5:5" ht="15.75" thickBot="1" x14ac:dyDescent="0.3">
      <c r="E168" s="17"/>
    </row>
    <row r="169" spans="5:5" ht="15.75" thickBot="1" x14ac:dyDescent="0.3">
      <c r="E169" s="17"/>
    </row>
    <row r="170" spans="5:5" ht="15.75" thickBot="1" x14ac:dyDescent="0.3">
      <c r="E170" s="17"/>
    </row>
    <row r="171" spans="5:5" ht="15.75" thickBot="1" x14ac:dyDescent="0.3">
      <c r="E171" s="17"/>
    </row>
    <row r="172" spans="5:5" ht="15.75" thickBot="1" x14ac:dyDescent="0.3">
      <c r="E172" s="17"/>
    </row>
    <row r="173" spans="5:5" ht="15.75" thickBot="1" x14ac:dyDescent="0.3">
      <c r="E173" s="17"/>
    </row>
    <row r="174" spans="5:5" ht="15.75" thickBot="1" x14ac:dyDescent="0.3">
      <c r="E174" s="17"/>
    </row>
    <row r="175" spans="5:5" ht="15.75" thickBot="1" x14ac:dyDescent="0.3">
      <c r="E175" s="17"/>
    </row>
    <row r="176" spans="5:5" ht="15.75" thickBot="1" x14ac:dyDescent="0.3">
      <c r="E176" s="17"/>
    </row>
    <row r="177" spans="5:5" ht="15.75" thickBot="1" x14ac:dyDescent="0.3">
      <c r="E177" s="17"/>
    </row>
    <row r="178" spans="5:5" ht="15.75" thickBot="1" x14ac:dyDescent="0.3">
      <c r="E178" s="17"/>
    </row>
    <row r="179" spans="5:5" ht="15.75" thickBot="1" x14ac:dyDescent="0.3">
      <c r="E179" s="17"/>
    </row>
    <row r="180" spans="5:5" ht="15.75" thickBot="1" x14ac:dyDescent="0.3">
      <c r="E180" s="17"/>
    </row>
    <row r="181" spans="5:5" ht="15.75" thickBot="1" x14ac:dyDescent="0.3">
      <c r="E181" s="17"/>
    </row>
    <row r="182" spans="5:5" ht="15.75" thickBot="1" x14ac:dyDescent="0.3">
      <c r="E182" s="17"/>
    </row>
    <row r="183" spans="5:5" ht="15.75" thickBot="1" x14ac:dyDescent="0.3">
      <c r="E183" s="17"/>
    </row>
    <row r="184" spans="5:5" ht="15.75" thickBot="1" x14ac:dyDescent="0.3">
      <c r="E184" s="17"/>
    </row>
    <row r="185" spans="5:5" ht="15.75" thickBot="1" x14ac:dyDescent="0.3">
      <c r="E185" s="17"/>
    </row>
    <row r="186" spans="5:5" ht="15.75" thickBot="1" x14ac:dyDescent="0.3">
      <c r="E186" s="17"/>
    </row>
    <row r="187" spans="5:5" ht="15.75" thickBot="1" x14ac:dyDescent="0.3">
      <c r="E187" s="17"/>
    </row>
    <row r="188" spans="5:5" ht="15.75" thickBot="1" x14ac:dyDescent="0.3">
      <c r="E188" s="17"/>
    </row>
    <row r="189" spans="5:5" ht="15.75" thickBot="1" x14ac:dyDescent="0.3">
      <c r="E189" s="17"/>
    </row>
    <row r="190" spans="5:5" ht="15.75" thickBot="1" x14ac:dyDescent="0.3">
      <c r="E190" s="17"/>
    </row>
    <row r="191" spans="5:5" ht="15.75" thickBot="1" x14ac:dyDescent="0.3">
      <c r="E191" s="17"/>
    </row>
    <row r="192" spans="5:5" ht="15.75" thickBot="1" x14ac:dyDescent="0.3">
      <c r="E192" s="17"/>
    </row>
    <row r="193" spans="5:5" ht="15.75" thickBot="1" x14ac:dyDescent="0.3">
      <c r="E193" s="17"/>
    </row>
    <row r="194" spans="5:5" ht="15.75" thickBot="1" x14ac:dyDescent="0.3">
      <c r="E194" s="17"/>
    </row>
    <row r="195" spans="5:5" ht="15.75" thickBot="1" x14ac:dyDescent="0.3">
      <c r="E195" s="17"/>
    </row>
    <row r="196" spans="5:5" ht="15.75" thickBot="1" x14ac:dyDescent="0.3">
      <c r="E196" s="17"/>
    </row>
    <row r="197" spans="5:5" ht="15.75" thickBot="1" x14ac:dyDescent="0.3">
      <c r="E197" s="17"/>
    </row>
    <row r="198" spans="5:5" ht="15.75" thickBot="1" x14ac:dyDescent="0.3">
      <c r="E198" s="17"/>
    </row>
    <row r="199" spans="5:5" ht="15.75" thickBot="1" x14ac:dyDescent="0.3">
      <c r="E199" s="17"/>
    </row>
    <row r="200" spans="5:5" ht="15.75" thickBot="1" x14ac:dyDescent="0.3">
      <c r="E200" s="17"/>
    </row>
    <row r="201" spans="5:5" ht="15.75" thickBot="1" x14ac:dyDescent="0.3">
      <c r="E201" s="17"/>
    </row>
    <row r="202" spans="5:5" ht="15.75" thickBot="1" x14ac:dyDescent="0.3">
      <c r="E202" s="17"/>
    </row>
    <row r="203" spans="5:5" ht="15.75" thickBot="1" x14ac:dyDescent="0.3">
      <c r="E203" s="17"/>
    </row>
    <row r="204" spans="5:5" ht="15.75" thickBot="1" x14ac:dyDescent="0.3">
      <c r="E204" s="17"/>
    </row>
    <row r="205" spans="5:5" ht="15.75" thickBot="1" x14ac:dyDescent="0.3">
      <c r="E205" s="17"/>
    </row>
    <row r="206" spans="5:5" ht="15.75" thickBot="1" x14ac:dyDescent="0.3">
      <c r="E206" s="17"/>
    </row>
    <row r="207" spans="5:5" ht="15.75" thickBot="1" x14ac:dyDescent="0.3">
      <c r="E207" s="17"/>
    </row>
    <row r="208" spans="5:5" ht="15.75" thickBot="1" x14ac:dyDescent="0.3">
      <c r="E208" s="17"/>
    </row>
    <row r="209" spans="5:5" ht="15.75" thickBot="1" x14ac:dyDescent="0.3">
      <c r="E209" s="17"/>
    </row>
    <row r="210" spans="5:5" ht="15.75" thickBot="1" x14ac:dyDescent="0.3">
      <c r="E210" s="17"/>
    </row>
    <row r="211" spans="5:5" ht="15.75" thickBot="1" x14ac:dyDescent="0.3">
      <c r="E211" s="17"/>
    </row>
    <row r="212" spans="5:5" ht="15.75" thickBot="1" x14ac:dyDescent="0.3">
      <c r="E212" s="17"/>
    </row>
    <row r="213" spans="5:5" ht="15.75" thickBot="1" x14ac:dyDescent="0.3">
      <c r="E213" s="17"/>
    </row>
    <row r="214" spans="5:5" ht="15.75" thickBot="1" x14ac:dyDescent="0.3">
      <c r="E214" s="17"/>
    </row>
    <row r="215" spans="5:5" ht="15.75" thickBot="1" x14ac:dyDescent="0.3">
      <c r="E215" s="17"/>
    </row>
    <row r="216" spans="5:5" ht="15.75" thickBot="1" x14ac:dyDescent="0.3">
      <c r="E216" s="17"/>
    </row>
    <row r="217" spans="5:5" ht="15.75" thickBot="1" x14ac:dyDescent="0.3">
      <c r="E217" s="17"/>
    </row>
    <row r="218" spans="5:5" ht="15.75" thickBot="1" x14ac:dyDescent="0.3">
      <c r="E218" s="17"/>
    </row>
    <row r="219" spans="5:5" ht="15.75" thickBot="1" x14ac:dyDescent="0.3">
      <c r="E219" s="17"/>
    </row>
    <row r="220" spans="5:5" ht="15.75" thickBot="1" x14ac:dyDescent="0.3">
      <c r="E220" s="17"/>
    </row>
    <row r="221" spans="5:5" ht="15.75" thickBot="1" x14ac:dyDescent="0.3">
      <c r="E221" s="17"/>
    </row>
    <row r="222" spans="5:5" ht="15.75" thickBot="1" x14ac:dyDescent="0.3">
      <c r="E222" s="17"/>
    </row>
    <row r="223" spans="5:5" ht="15.75" thickBot="1" x14ac:dyDescent="0.3">
      <c r="E223" s="17"/>
    </row>
    <row r="224" spans="5:5" ht="15.75" thickBot="1" x14ac:dyDescent="0.3">
      <c r="E224" s="17"/>
    </row>
    <row r="225" spans="5:5" ht="15.75" thickBot="1" x14ac:dyDescent="0.3">
      <c r="E225" s="17"/>
    </row>
    <row r="226" spans="5:5" ht="15.75" thickBot="1" x14ac:dyDescent="0.3">
      <c r="E226" s="17"/>
    </row>
    <row r="227" spans="5:5" ht="15.75" thickBot="1" x14ac:dyDescent="0.3">
      <c r="E227" s="17"/>
    </row>
    <row r="228" spans="5:5" ht="15.75" thickBot="1" x14ac:dyDescent="0.3">
      <c r="E228" s="17"/>
    </row>
    <row r="229" spans="5:5" ht="15.75" thickBot="1" x14ac:dyDescent="0.3">
      <c r="E229" s="17"/>
    </row>
    <row r="230" spans="5:5" ht="15.75" thickBot="1" x14ac:dyDescent="0.3">
      <c r="E230" s="17"/>
    </row>
    <row r="231" spans="5:5" ht="15.75" thickBot="1" x14ac:dyDescent="0.3">
      <c r="E231" s="17"/>
    </row>
    <row r="232" spans="5:5" ht="15.75" thickBot="1" x14ac:dyDescent="0.3">
      <c r="E232" s="17"/>
    </row>
    <row r="233" spans="5:5" ht="15.75" thickBot="1" x14ac:dyDescent="0.3">
      <c r="E233" s="17"/>
    </row>
    <row r="234" spans="5:5" ht="15.75" thickBot="1" x14ac:dyDescent="0.3">
      <c r="E234" s="17"/>
    </row>
    <row r="235" spans="5:5" ht="15.75" thickBot="1" x14ac:dyDescent="0.3">
      <c r="E235" s="17"/>
    </row>
    <row r="236" spans="5:5" ht="15.75" thickBot="1" x14ac:dyDescent="0.3">
      <c r="E236" s="17"/>
    </row>
    <row r="237" spans="5:5" ht="15.75" thickBot="1" x14ac:dyDescent="0.3">
      <c r="E237" s="17"/>
    </row>
    <row r="238" spans="5:5" ht="15.75" thickBot="1" x14ac:dyDescent="0.3">
      <c r="E238" s="17"/>
    </row>
    <row r="239" spans="5:5" ht="15.75" thickBot="1" x14ac:dyDescent="0.3">
      <c r="E239" s="17"/>
    </row>
    <row r="240" spans="5:5" ht="15.75" thickBot="1" x14ac:dyDescent="0.3">
      <c r="E240" s="17"/>
    </row>
    <row r="241" spans="5:5" ht="15.75" thickBot="1" x14ac:dyDescent="0.3">
      <c r="E241" s="17"/>
    </row>
    <row r="242" spans="5:5" ht="15.75" thickBot="1" x14ac:dyDescent="0.3">
      <c r="E242" s="17"/>
    </row>
    <row r="243" spans="5:5" ht="15.75" thickBot="1" x14ac:dyDescent="0.3">
      <c r="E243" s="17"/>
    </row>
    <row r="244" spans="5:5" ht="15.75" thickBot="1" x14ac:dyDescent="0.3">
      <c r="E244" s="17"/>
    </row>
    <row r="245" spans="5:5" ht="15.75" thickBot="1" x14ac:dyDescent="0.3">
      <c r="E245" s="17"/>
    </row>
    <row r="246" spans="5:5" ht="15.75" thickBot="1" x14ac:dyDescent="0.3">
      <c r="E246" s="17"/>
    </row>
    <row r="247" spans="5:5" ht="15.75" thickBot="1" x14ac:dyDescent="0.3">
      <c r="E247" s="17"/>
    </row>
    <row r="248" spans="5:5" ht="15.75" thickBot="1" x14ac:dyDescent="0.3">
      <c r="E248" s="17"/>
    </row>
    <row r="249" spans="5:5" ht="15.75" thickBot="1" x14ac:dyDescent="0.3">
      <c r="E249" s="17"/>
    </row>
    <row r="250" spans="5:5" ht="15.75" thickBot="1" x14ac:dyDescent="0.3">
      <c r="E250" s="17"/>
    </row>
    <row r="251" spans="5:5" ht="15.75" thickBot="1" x14ac:dyDescent="0.3">
      <c r="E251" s="17"/>
    </row>
    <row r="252" spans="5:5" ht="15.75" thickBot="1" x14ac:dyDescent="0.3">
      <c r="E252" s="17"/>
    </row>
    <row r="253" spans="5:5" ht="15.75" thickBot="1" x14ac:dyDescent="0.3">
      <c r="E253" s="17"/>
    </row>
    <row r="254" spans="5:5" ht="15.75" thickBot="1" x14ac:dyDescent="0.3">
      <c r="E254" s="17"/>
    </row>
    <row r="255" spans="5:5" ht="15.75" thickBot="1" x14ac:dyDescent="0.3">
      <c r="E255" s="17"/>
    </row>
    <row r="256" spans="5:5" ht="15.75" thickBot="1" x14ac:dyDescent="0.3">
      <c r="E256" s="17"/>
    </row>
    <row r="257" spans="5:5" ht="15.75" thickBot="1" x14ac:dyDescent="0.3">
      <c r="E257" s="17"/>
    </row>
    <row r="258" spans="5:5" ht="15.75" thickBot="1" x14ac:dyDescent="0.3">
      <c r="E258" s="17"/>
    </row>
    <row r="259" spans="5:5" ht="15.75" thickBot="1" x14ac:dyDescent="0.3">
      <c r="E259" s="17"/>
    </row>
    <row r="260" spans="5:5" ht="15.75" thickBot="1" x14ac:dyDescent="0.3">
      <c r="E260" s="17"/>
    </row>
    <row r="261" spans="5:5" ht="15.75" thickBot="1" x14ac:dyDescent="0.3">
      <c r="E261" s="17"/>
    </row>
    <row r="262" spans="5:5" ht="15.75" thickBot="1" x14ac:dyDescent="0.3">
      <c r="E262" s="17"/>
    </row>
    <row r="263" spans="5:5" ht="15.75" thickBot="1" x14ac:dyDescent="0.3">
      <c r="E263" s="17"/>
    </row>
    <row r="264" spans="5:5" ht="15.75" thickBot="1" x14ac:dyDescent="0.3">
      <c r="E264" s="17"/>
    </row>
    <row r="265" spans="5:5" ht="15.75" thickBot="1" x14ac:dyDescent="0.3">
      <c r="E265" s="17"/>
    </row>
    <row r="266" spans="5:5" ht="15.75" thickBot="1" x14ac:dyDescent="0.3">
      <c r="E266" s="17"/>
    </row>
    <row r="267" spans="5:5" ht="15.75" thickBot="1" x14ac:dyDescent="0.3">
      <c r="E267" s="17"/>
    </row>
    <row r="268" spans="5:5" ht="15.75" thickBot="1" x14ac:dyDescent="0.3">
      <c r="E268" s="17"/>
    </row>
    <row r="269" spans="5:5" ht="15.75" thickBot="1" x14ac:dyDescent="0.3">
      <c r="E269" s="17"/>
    </row>
    <row r="270" spans="5:5" ht="15.75" thickBot="1" x14ac:dyDescent="0.3">
      <c r="E270" s="17"/>
    </row>
    <row r="271" spans="5:5" ht="15.75" thickBot="1" x14ac:dyDescent="0.3">
      <c r="E271" s="17"/>
    </row>
    <row r="272" spans="5:5" ht="15.75" thickBot="1" x14ac:dyDescent="0.3">
      <c r="E272" s="17"/>
    </row>
    <row r="273" spans="5:5" ht="15.75" thickBot="1" x14ac:dyDescent="0.3">
      <c r="E273" s="17"/>
    </row>
    <row r="274" spans="5:5" ht="15.75" thickBot="1" x14ac:dyDescent="0.3">
      <c r="E274" s="17"/>
    </row>
    <row r="275" spans="5:5" ht="15.75" thickBot="1" x14ac:dyDescent="0.3">
      <c r="E275" s="17"/>
    </row>
    <row r="276" spans="5:5" ht="15.75" thickBot="1" x14ac:dyDescent="0.3">
      <c r="E276" s="17"/>
    </row>
    <row r="277" spans="5:5" ht="15.75" thickBot="1" x14ac:dyDescent="0.3">
      <c r="E277" s="17"/>
    </row>
    <row r="278" spans="5:5" ht="15.75" thickBot="1" x14ac:dyDescent="0.3">
      <c r="E278" s="17"/>
    </row>
    <row r="279" spans="5:5" ht="15.75" thickBot="1" x14ac:dyDescent="0.3">
      <c r="E279" s="17"/>
    </row>
    <row r="280" spans="5:5" ht="15.75" thickBot="1" x14ac:dyDescent="0.3">
      <c r="E280" s="17"/>
    </row>
    <row r="281" spans="5:5" ht="15.75" thickBot="1" x14ac:dyDescent="0.3">
      <c r="E281" s="17"/>
    </row>
    <row r="282" spans="5:5" ht="15.75" thickBot="1" x14ac:dyDescent="0.3">
      <c r="E282" s="17"/>
    </row>
    <row r="283" spans="5:5" ht="15.75" thickBot="1" x14ac:dyDescent="0.3">
      <c r="E283" s="17"/>
    </row>
    <row r="284" spans="5:5" ht="15.75" thickBot="1" x14ac:dyDescent="0.3">
      <c r="E284" s="17"/>
    </row>
    <row r="285" spans="5:5" ht="15.75" thickBot="1" x14ac:dyDescent="0.3">
      <c r="E285" s="17"/>
    </row>
    <row r="286" spans="5:5" ht="15.75" thickBot="1" x14ac:dyDescent="0.3">
      <c r="E286" s="17"/>
    </row>
    <row r="287" spans="5:5" ht="15.75" thickBot="1" x14ac:dyDescent="0.3">
      <c r="E287" s="17"/>
    </row>
    <row r="288" spans="5:5" ht="15.75" thickBot="1" x14ac:dyDescent="0.3">
      <c r="E288" s="17"/>
    </row>
    <row r="289" spans="5:5" ht="15.75" thickBot="1" x14ac:dyDescent="0.3">
      <c r="E289" s="17"/>
    </row>
    <row r="290" spans="5:5" ht="15.75" thickBot="1" x14ac:dyDescent="0.3">
      <c r="E290" s="17"/>
    </row>
    <row r="291" spans="5:5" ht="15.75" thickBot="1" x14ac:dyDescent="0.3">
      <c r="E291" s="17"/>
    </row>
    <row r="292" spans="5:5" ht="15.75" thickBot="1" x14ac:dyDescent="0.3">
      <c r="E292" s="17"/>
    </row>
    <row r="293" spans="5:5" ht="15.75" thickBot="1" x14ac:dyDescent="0.3">
      <c r="E293" s="17"/>
    </row>
    <row r="294" spans="5:5" ht="15.75" thickBot="1" x14ac:dyDescent="0.3">
      <c r="E294" s="17"/>
    </row>
    <row r="295" spans="5:5" ht="15.75" thickBot="1" x14ac:dyDescent="0.3">
      <c r="E295" s="17"/>
    </row>
    <row r="296" spans="5:5" ht="15.75" thickBot="1" x14ac:dyDescent="0.3">
      <c r="E296" s="17"/>
    </row>
    <row r="297" spans="5:5" ht="15.75" thickBot="1" x14ac:dyDescent="0.3">
      <c r="E297" s="17"/>
    </row>
    <row r="298" spans="5:5" ht="15.75" thickBot="1" x14ac:dyDescent="0.3">
      <c r="E298" s="17"/>
    </row>
    <row r="299" spans="5:5" ht="15.75" thickBot="1" x14ac:dyDescent="0.3">
      <c r="E299" s="17"/>
    </row>
    <row r="300" spans="5:5" ht="15.75" thickBot="1" x14ac:dyDescent="0.3">
      <c r="E300" s="17"/>
    </row>
    <row r="301" spans="5:5" ht="15.75" thickBot="1" x14ac:dyDescent="0.3">
      <c r="E301" s="17"/>
    </row>
    <row r="302" spans="5:5" ht="15.75" thickBot="1" x14ac:dyDescent="0.3">
      <c r="E302" s="17"/>
    </row>
    <row r="303" spans="5:5" ht="15.75" thickBot="1" x14ac:dyDescent="0.3">
      <c r="E303" s="17"/>
    </row>
    <row r="304" spans="5:5" ht="15.75" thickBot="1" x14ac:dyDescent="0.3">
      <c r="E304" s="17"/>
    </row>
    <row r="305" spans="5:5" ht="15.75" thickBot="1" x14ac:dyDescent="0.3">
      <c r="E305" s="17"/>
    </row>
    <row r="306" spans="5:5" ht="15.75" thickBot="1" x14ac:dyDescent="0.3">
      <c r="E306" s="17"/>
    </row>
    <row r="307" spans="5:5" ht="15.75" thickBot="1" x14ac:dyDescent="0.3">
      <c r="E307" s="17"/>
    </row>
    <row r="308" spans="5:5" ht="15.75" thickBot="1" x14ac:dyDescent="0.3">
      <c r="E308" s="17"/>
    </row>
    <row r="309" spans="5:5" ht="15.75" thickBot="1" x14ac:dyDescent="0.3">
      <c r="E309" s="17"/>
    </row>
    <row r="310" spans="5:5" ht="15.75" thickBot="1" x14ac:dyDescent="0.3">
      <c r="E310" s="17"/>
    </row>
    <row r="311" spans="5:5" ht="15.75" thickBot="1" x14ac:dyDescent="0.3">
      <c r="E311" s="17"/>
    </row>
    <row r="312" spans="5:5" ht="15.75" thickBot="1" x14ac:dyDescent="0.3">
      <c r="E312" s="17"/>
    </row>
    <row r="313" spans="5:5" ht="15.75" thickBot="1" x14ac:dyDescent="0.3">
      <c r="E313" s="17"/>
    </row>
    <row r="314" spans="5:5" ht="15.75" thickBot="1" x14ac:dyDescent="0.3">
      <c r="E314" s="17"/>
    </row>
    <row r="315" spans="5:5" ht="15.75" thickBot="1" x14ac:dyDescent="0.3">
      <c r="E315" s="17"/>
    </row>
    <row r="316" spans="5:5" ht="15.75" thickBot="1" x14ac:dyDescent="0.3">
      <c r="E316" s="17"/>
    </row>
    <row r="317" spans="5:5" ht="15.75" thickBot="1" x14ac:dyDescent="0.3">
      <c r="E317" s="17"/>
    </row>
    <row r="318" spans="5:5" ht="15.75" thickBot="1" x14ac:dyDescent="0.3">
      <c r="E318" s="17"/>
    </row>
    <row r="319" spans="5:5" ht="15.75" thickBot="1" x14ac:dyDescent="0.3">
      <c r="E319" s="17"/>
    </row>
    <row r="320" spans="5:5" ht="15.75" thickBot="1" x14ac:dyDescent="0.3">
      <c r="E320" s="17"/>
    </row>
    <row r="321" spans="5:5" ht="15.75" thickBot="1" x14ac:dyDescent="0.3">
      <c r="E321" s="17"/>
    </row>
    <row r="322" spans="5:5" ht="15.75" thickBot="1" x14ac:dyDescent="0.3">
      <c r="E322" s="17"/>
    </row>
    <row r="323" spans="5:5" ht="15.75" thickBot="1" x14ac:dyDescent="0.3">
      <c r="E323" s="17"/>
    </row>
    <row r="324" spans="5:5" ht="15.75" thickBot="1" x14ac:dyDescent="0.3">
      <c r="E324" s="17"/>
    </row>
    <row r="325" spans="5:5" ht="15.75" thickBot="1" x14ac:dyDescent="0.3">
      <c r="E325" s="17"/>
    </row>
    <row r="326" spans="5:5" ht="15.75" thickBot="1" x14ac:dyDescent="0.3">
      <c r="E326" s="17"/>
    </row>
    <row r="327" spans="5:5" ht="15.75" thickBot="1" x14ac:dyDescent="0.3">
      <c r="E327" s="17"/>
    </row>
    <row r="328" spans="5:5" ht="15.75" thickBot="1" x14ac:dyDescent="0.3">
      <c r="E328" s="17"/>
    </row>
    <row r="329" spans="5:5" ht="15.75" thickBot="1" x14ac:dyDescent="0.3">
      <c r="E329" s="17"/>
    </row>
    <row r="330" spans="5:5" ht="15.75" thickBot="1" x14ac:dyDescent="0.3">
      <c r="E330" s="17"/>
    </row>
    <row r="331" spans="5:5" ht="15.75" thickBot="1" x14ac:dyDescent="0.3">
      <c r="E331" s="17"/>
    </row>
    <row r="332" spans="5:5" ht="15.75" thickBot="1" x14ac:dyDescent="0.3">
      <c r="E332" s="17"/>
    </row>
    <row r="333" spans="5:5" ht="15.75" thickBot="1" x14ac:dyDescent="0.3">
      <c r="E333" s="17"/>
    </row>
    <row r="334" spans="5:5" ht="15.75" thickBot="1" x14ac:dyDescent="0.3">
      <c r="E334" s="17"/>
    </row>
    <row r="335" spans="5:5" ht="15.75" thickBot="1" x14ac:dyDescent="0.3">
      <c r="E335" s="17"/>
    </row>
    <row r="336" spans="5:5" ht="15.75" thickBot="1" x14ac:dyDescent="0.3">
      <c r="E336" s="17"/>
    </row>
    <row r="337" spans="5:5" ht="15.75" thickBot="1" x14ac:dyDescent="0.3">
      <c r="E337" s="17"/>
    </row>
    <row r="338" spans="5:5" ht="15.75" thickBot="1" x14ac:dyDescent="0.3">
      <c r="E338" s="17"/>
    </row>
    <row r="339" spans="5:5" ht="15.75" thickBot="1" x14ac:dyDescent="0.3">
      <c r="E339" s="17"/>
    </row>
    <row r="340" spans="5:5" ht="15.75" thickBot="1" x14ac:dyDescent="0.3">
      <c r="E340" s="17"/>
    </row>
    <row r="341" spans="5:5" ht="15.75" thickBot="1" x14ac:dyDescent="0.3">
      <c r="E341" s="17"/>
    </row>
    <row r="342" spans="5:5" ht="15.75" thickBot="1" x14ac:dyDescent="0.3">
      <c r="E342" s="17"/>
    </row>
    <row r="343" spans="5:5" ht="15.75" thickBot="1" x14ac:dyDescent="0.3">
      <c r="E343" s="17"/>
    </row>
    <row r="344" spans="5:5" ht="15.75" thickBot="1" x14ac:dyDescent="0.3">
      <c r="E344" s="17"/>
    </row>
    <row r="345" spans="5:5" ht="15.75" thickBot="1" x14ac:dyDescent="0.3">
      <c r="E345" s="17"/>
    </row>
    <row r="346" spans="5:5" ht="15.75" thickBot="1" x14ac:dyDescent="0.3">
      <c r="E346" s="17"/>
    </row>
    <row r="347" spans="5:5" ht="15.75" thickBot="1" x14ac:dyDescent="0.3">
      <c r="E347" s="17"/>
    </row>
    <row r="348" spans="5:5" ht="15.75" thickBot="1" x14ac:dyDescent="0.3">
      <c r="E348" s="17"/>
    </row>
    <row r="349" spans="5:5" ht="15.75" thickBot="1" x14ac:dyDescent="0.3">
      <c r="E349" s="17"/>
    </row>
    <row r="350" spans="5:5" ht="15.75" thickBot="1" x14ac:dyDescent="0.3">
      <c r="E350" s="17"/>
    </row>
    <row r="351" spans="5:5" ht="15.75" thickBot="1" x14ac:dyDescent="0.3">
      <c r="E351" s="17"/>
    </row>
    <row r="352" spans="5:5" ht="15.75" thickBot="1" x14ac:dyDescent="0.3">
      <c r="E352" s="17"/>
    </row>
    <row r="353" spans="5:5" ht="15.75" thickBot="1" x14ac:dyDescent="0.3">
      <c r="E353" s="17"/>
    </row>
    <row r="354" spans="5:5" ht="15.75" thickBot="1" x14ac:dyDescent="0.3">
      <c r="E354" s="17"/>
    </row>
    <row r="355" spans="5:5" ht="15.75" thickBot="1" x14ac:dyDescent="0.3">
      <c r="E355" s="17"/>
    </row>
    <row r="356" spans="5:5" ht="15.75" thickBot="1" x14ac:dyDescent="0.3">
      <c r="E356" s="17"/>
    </row>
    <row r="357" spans="5:5" ht="15.75" thickBot="1" x14ac:dyDescent="0.3">
      <c r="E357" s="17"/>
    </row>
    <row r="358" spans="5:5" ht="15.75" thickBot="1" x14ac:dyDescent="0.3">
      <c r="E358" s="17"/>
    </row>
    <row r="359" spans="5:5" ht="15.75" thickBot="1" x14ac:dyDescent="0.3">
      <c r="E359" s="17"/>
    </row>
    <row r="360" spans="5:5" ht="15.75" thickBot="1" x14ac:dyDescent="0.3">
      <c r="E360" s="17"/>
    </row>
    <row r="361" spans="5:5" ht="15.75" thickBot="1" x14ac:dyDescent="0.3">
      <c r="E361" s="17"/>
    </row>
    <row r="362" spans="5:5" ht="15.75" thickBot="1" x14ac:dyDescent="0.3">
      <c r="E362" s="17"/>
    </row>
    <row r="363" spans="5:5" ht="15.75" thickBot="1" x14ac:dyDescent="0.3">
      <c r="E363" s="17"/>
    </row>
    <row r="364" spans="5:5" ht="15.75" thickBot="1" x14ac:dyDescent="0.3">
      <c r="E364" s="17"/>
    </row>
    <row r="365" spans="5:5" ht="15.75" thickBot="1" x14ac:dyDescent="0.3">
      <c r="E365" s="17"/>
    </row>
    <row r="366" spans="5:5" ht="15.75" thickBot="1" x14ac:dyDescent="0.3">
      <c r="E366" s="17"/>
    </row>
    <row r="367" spans="5:5" ht="15.75" thickBot="1" x14ac:dyDescent="0.3">
      <c r="E367" s="17"/>
    </row>
    <row r="368" spans="5:5" ht="15.75" thickBot="1" x14ac:dyDescent="0.3">
      <c r="E368" s="17"/>
    </row>
    <row r="369" spans="5:5" ht="15.75" thickBot="1" x14ac:dyDescent="0.3">
      <c r="E369" s="17"/>
    </row>
    <row r="370" spans="5:5" ht="15.75" thickBot="1" x14ac:dyDescent="0.3">
      <c r="E370" s="17"/>
    </row>
    <row r="371" spans="5:5" ht="15.75" thickBot="1" x14ac:dyDescent="0.3">
      <c r="E371" s="17"/>
    </row>
    <row r="372" spans="5:5" ht="15.75" thickBot="1" x14ac:dyDescent="0.3">
      <c r="E372" s="17"/>
    </row>
    <row r="373" spans="5:5" ht="15.75" thickBot="1" x14ac:dyDescent="0.3">
      <c r="E373" s="17"/>
    </row>
    <row r="374" spans="5:5" ht="15.75" thickBot="1" x14ac:dyDescent="0.3">
      <c r="E374" s="17"/>
    </row>
    <row r="375" spans="5:5" ht="15.75" thickBot="1" x14ac:dyDescent="0.3">
      <c r="E375" s="17"/>
    </row>
    <row r="376" spans="5:5" ht="15.75" thickBot="1" x14ac:dyDescent="0.3">
      <c r="E376" s="17"/>
    </row>
    <row r="377" spans="5:5" ht="15.75" thickBot="1" x14ac:dyDescent="0.3">
      <c r="E377" s="17"/>
    </row>
    <row r="378" spans="5:5" ht="15.75" thickBot="1" x14ac:dyDescent="0.3">
      <c r="E378" s="17"/>
    </row>
    <row r="379" spans="5:5" ht="15.75" thickBot="1" x14ac:dyDescent="0.3">
      <c r="E379" s="17"/>
    </row>
    <row r="380" spans="5:5" ht="15.75" thickBot="1" x14ac:dyDescent="0.3">
      <c r="E380" s="17"/>
    </row>
    <row r="381" spans="5:5" ht="15.75" thickBot="1" x14ac:dyDescent="0.3">
      <c r="E381" s="17"/>
    </row>
    <row r="382" spans="5:5" ht="15.75" thickBot="1" x14ac:dyDescent="0.3">
      <c r="E382" s="17"/>
    </row>
    <row r="383" spans="5:5" ht="15.75" thickBot="1" x14ac:dyDescent="0.3">
      <c r="E383" s="17"/>
    </row>
    <row r="384" spans="5:5" ht="15.75" thickBot="1" x14ac:dyDescent="0.3">
      <c r="E384" s="17"/>
    </row>
    <row r="385" spans="5:5" ht="15.75" thickBot="1" x14ac:dyDescent="0.3">
      <c r="E385" s="17"/>
    </row>
    <row r="386" spans="5:5" ht="15.75" thickBot="1" x14ac:dyDescent="0.3">
      <c r="E386" s="17"/>
    </row>
    <row r="387" spans="5:5" ht="15.75" thickBot="1" x14ac:dyDescent="0.3">
      <c r="E387" s="17"/>
    </row>
    <row r="388" spans="5:5" ht="15.75" thickBot="1" x14ac:dyDescent="0.3">
      <c r="E388" s="17"/>
    </row>
    <row r="389" spans="5:5" ht="15.75" thickBot="1" x14ac:dyDescent="0.3">
      <c r="E389" s="17"/>
    </row>
    <row r="390" spans="5:5" ht="15.75" thickBot="1" x14ac:dyDescent="0.3">
      <c r="E390" s="17"/>
    </row>
    <row r="391" spans="5:5" ht="15.75" thickBot="1" x14ac:dyDescent="0.3">
      <c r="E391" s="17"/>
    </row>
    <row r="392" spans="5:5" ht="15.75" thickBot="1" x14ac:dyDescent="0.3">
      <c r="E392" s="17"/>
    </row>
    <row r="393" spans="5:5" ht="15.75" thickBot="1" x14ac:dyDescent="0.3">
      <c r="E393" s="17"/>
    </row>
    <row r="394" spans="5:5" ht="15.75" thickBot="1" x14ac:dyDescent="0.3">
      <c r="E394" s="17"/>
    </row>
    <row r="395" spans="5:5" ht="15.75" thickBot="1" x14ac:dyDescent="0.3">
      <c r="E395" s="17"/>
    </row>
    <row r="396" spans="5:5" ht="15.75" thickBot="1" x14ac:dyDescent="0.3">
      <c r="E396" s="17"/>
    </row>
    <row r="397" spans="5:5" ht="15.75" thickBot="1" x14ac:dyDescent="0.3">
      <c r="E397" s="17"/>
    </row>
    <row r="398" spans="5:5" ht="15.75" thickBot="1" x14ac:dyDescent="0.3">
      <c r="E398" s="17"/>
    </row>
    <row r="399" spans="5:5" ht="15.75" thickBot="1" x14ac:dyDescent="0.3">
      <c r="E399" s="17"/>
    </row>
    <row r="400" spans="5:5" ht="15.75" thickBot="1" x14ac:dyDescent="0.3">
      <c r="E400" s="17"/>
    </row>
    <row r="401" spans="5:5" ht="15.75" thickBot="1" x14ac:dyDescent="0.3">
      <c r="E401" s="17"/>
    </row>
    <row r="402" spans="5:5" ht="15.75" thickBot="1" x14ac:dyDescent="0.3">
      <c r="E402" s="17"/>
    </row>
    <row r="403" spans="5:5" ht="15.75" thickBot="1" x14ac:dyDescent="0.3">
      <c r="E403" s="17"/>
    </row>
    <row r="404" spans="5:5" ht="15.75" thickBot="1" x14ac:dyDescent="0.3">
      <c r="E404" s="17"/>
    </row>
    <row r="405" spans="5:5" ht="15.75" thickBot="1" x14ac:dyDescent="0.3">
      <c r="E405" s="17"/>
    </row>
    <row r="406" spans="5:5" ht="15.75" thickBot="1" x14ac:dyDescent="0.3">
      <c r="E406" s="17"/>
    </row>
    <row r="407" spans="5:5" ht="15.75" thickBot="1" x14ac:dyDescent="0.3">
      <c r="E407" s="17"/>
    </row>
    <row r="408" spans="5:5" ht="15.75" thickBot="1" x14ac:dyDescent="0.3">
      <c r="E408" s="17"/>
    </row>
    <row r="409" spans="5:5" ht="15.75" thickBot="1" x14ac:dyDescent="0.3">
      <c r="E409" s="17"/>
    </row>
    <row r="410" spans="5:5" ht="15.75" thickBot="1" x14ac:dyDescent="0.3">
      <c r="E410" s="17"/>
    </row>
    <row r="411" spans="5:5" ht="15.75" thickBot="1" x14ac:dyDescent="0.3">
      <c r="E411" s="17"/>
    </row>
    <row r="412" spans="5:5" ht="15.75" thickBot="1" x14ac:dyDescent="0.3">
      <c r="E412" s="17"/>
    </row>
    <row r="413" spans="5:5" ht="15.75" thickBot="1" x14ac:dyDescent="0.3">
      <c r="E413" s="17"/>
    </row>
    <row r="414" spans="5:5" ht="15.75" thickBot="1" x14ac:dyDescent="0.3">
      <c r="E414" s="17"/>
    </row>
    <row r="415" spans="5:5" ht="15.75" thickBot="1" x14ac:dyDescent="0.3">
      <c r="E415" s="17"/>
    </row>
    <row r="416" spans="5:5" ht="15.75" thickBot="1" x14ac:dyDescent="0.3">
      <c r="E416" s="17"/>
    </row>
    <row r="417" spans="5:5" ht="15.75" thickBot="1" x14ac:dyDescent="0.3">
      <c r="E417" s="17"/>
    </row>
    <row r="418" spans="5:5" ht="15.75" thickBot="1" x14ac:dyDescent="0.3">
      <c r="E418" s="17"/>
    </row>
    <row r="419" spans="5:5" ht="15.75" thickBot="1" x14ac:dyDescent="0.3">
      <c r="E419" s="17"/>
    </row>
    <row r="420" spans="5:5" ht="15.75" thickBot="1" x14ac:dyDescent="0.3">
      <c r="E420" s="17"/>
    </row>
    <row r="421" spans="5:5" ht="15.75" thickBot="1" x14ac:dyDescent="0.3">
      <c r="E421" s="17"/>
    </row>
    <row r="422" spans="5:5" ht="15.75" thickBot="1" x14ac:dyDescent="0.3">
      <c r="E422" s="17"/>
    </row>
    <row r="423" spans="5:5" ht="15.75" thickBot="1" x14ac:dyDescent="0.3">
      <c r="E423" s="17"/>
    </row>
    <row r="424" spans="5:5" ht="15.75" thickBot="1" x14ac:dyDescent="0.3">
      <c r="E424" s="17"/>
    </row>
    <row r="425" spans="5:5" ht="15.75" thickBot="1" x14ac:dyDescent="0.3">
      <c r="E425" s="17"/>
    </row>
    <row r="426" spans="5:5" ht="15.75" thickBot="1" x14ac:dyDescent="0.3">
      <c r="E426" s="17"/>
    </row>
    <row r="427" spans="5:5" ht="15.75" thickBot="1" x14ac:dyDescent="0.3">
      <c r="E427" s="17"/>
    </row>
    <row r="428" spans="5:5" ht="15.75" thickBot="1" x14ac:dyDescent="0.3">
      <c r="E428" s="17"/>
    </row>
    <row r="429" spans="5:5" ht="15.75" thickBot="1" x14ac:dyDescent="0.3">
      <c r="E429" s="17"/>
    </row>
    <row r="430" spans="5:5" ht="15.75" thickBot="1" x14ac:dyDescent="0.3">
      <c r="E430" s="17"/>
    </row>
    <row r="431" spans="5:5" ht="15.75" thickBot="1" x14ac:dyDescent="0.3">
      <c r="E431" s="17"/>
    </row>
    <row r="432" spans="5:5" ht="15.75" thickBot="1" x14ac:dyDescent="0.3">
      <c r="E432" s="17"/>
    </row>
    <row r="433" spans="5:5" ht="15.75" thickBot="1" x14ac:dyDescent="0.3">
      <c r="E433" s="17"/>
    </row>
    <row r="434" spans="5:5" ht="15.75" thickBot="1" x14ac:dyDescent="0.3">
      <c r="E434" s="17"/>
    </row>
    <row r="435" spans="5:5" ht="15.75" thickBot="1" x14ac:dyDescent="0.3">
      <c r="E435" s="17"/>
    </row>
    <row r="436" spans="5:5" ht="15.75" thickBot="1" x14ac:dyDescent="0.3">
      <c r="E436" s="17"/>
    </row>
    <row r="437" spans="5:5" ht="15.75" thickBot="1" x14ac:dyDescent="0.3">
      <c r="E437" s="17"/>
    </row>
    <row r="438" spans="5:5" ht="15.75" thickBot="1" x14ac:dyDescent="0.3">
      <c r="E438" s="17"/>
    </row>
    <row r="439" spans="5:5" ht="15.75" thickBot="1" x14ac:dyDescent="0.3">
      <c r="E439" s="17"/>
    </row>
    <row r="440" spans="5:5" ht="15.75" thickBot="1" x14ac:dyDescent="0.3">
      <c r="E440" s="17"/>
    </row>
    <row r="441" spans="5:5" ht="15.75" thickBot="1" x14ac:dyDescent="0.3">
      <c r="E441" s="17"/>
    </row>
    <row r="442" spans="5:5" ht="15.75" thickBot="1" x14ac:dyDescent="0.3">
      <c r="E442" s="17"/>
    </row>
    <row r="443" spans="5:5" ht="15.75" thickBot="1" x14ac:dyDescent="0.3">
      <c r="E443" s="17"/>
    </row>
    <row r="444" spans="5:5" ht="15.75" thickBot="1" x14ac:dyDescent="0.3">
      <c r="E444" s="17"/>
    </row>
    <row r="445" spans="5:5" ht="15.75" thickBot="1" x14ac:dyDescent="0.3">
      <c r="E445" s="17"/>
    </row>
    <row r="446" spans="5:5" ht="15.75" thickBot="1" x14ac:dyDescent="0.3">
      <c r="E446" s="17"/>
    </row>
    <row r="447" spans="5:5" ht="15.75" thickBot="1" x14ac:dyDescent="0.3">
      <c r="E447" s="17"/>
    </row>
    <row r="448" spans="5:5" ht="15.75" thickBot="1" x14ac:dyDescent="0.3">
      <c r="E448" s="17"/>
    </row>
    <row r="449" spans="5:5" ht="15.75" thickBot="1" x14ac:dyDescent="0.3">
      <c r="E449" s="17"/>
    </row>
    <row r="450" spans="5:5" ht="15.75" thickBot="1" x14ac:dyDescent="0.3">
      <c r="E450" s="17"/>
    </row>
    <row r="451" spans="5:5" ht="15.75" thickBot="1" x14ac:dyDescent="0.3">
      <c r="E451" s="17"/>
    </row>
    <row r="452" spans="5:5" ht="15.75" thickBot="1" x14ac:dyDescent="0.3">
      <c r="E452" s="17"/>
    </row>
    <row r="453" spans="5:5" ht="15.75" thickBot="1" x14ac:dyDescent="0.3">
      <c r="E453" s="17"/>
    </row>
    <row r="454" spans="5:5" ht="15.75" thickBot="1" x14ac:dyDescent="0.3">
      <c r="E454" s="17"/>
    </row>
    <row r="455" spans="5:5" ht="15.75" thickBot="1" x14ac:dyDescent="0.3">
      <c r="E455" s="17"/>
    </row>
    <row r="456" spans="5:5" ht="15.75" thickBot="1" x14ac:dyDescent="0.3">
      <c r="E456" s="17"/>
    </row>
    <row r="457" spans="5:5" ht="15.75" thickBot="1" x14ac:dyDescent="0.3">
      <c r="E457" s="17"/>
    </row>
    <row r="458" spans="5:5" ht="15.75" thickBot="1" x14ac:dyDescent="0.3">
      <c r="E458" s="17"/>
    </row>
    <row r="459" spans="5:5" ht="15.75" thickBot="1" x14ac:dyDescent="0.3">
      <c r="E459" s="17"/>
    </row>
    <row r="460" spans="5:5" ht="15.75" thickBot="1" x14ac:dyDescent="0.3">
      <c r="E460" s="17"/>
    </row>
    <row r="461" spans="5:5" ht="15.75" thickBot="1" x14ac:dyDescent="0.3">
      <c r="E461" s="17"/>
    </row>
    <row r="462" spans="5:5" ht="15.75" thickBot="1" x14ac:dyDescent="0.3">
      <c r="E462" s="17"/>
    </row>
    <row r="463" spans="5:5" ht="15.75" thickBot="1" x14ac:dyDescent="0.3">
      <c r="E463" s="17"/>
    </row>
    <row r="464" spans="5:5" ht="15.75" thickBot="1" x14ac:dyDescent="0.3">
      <c r="E464" s="17"/>
    </row>
    <row r="465" spans="5:5" ht="15.75" thickBot="1" x14ac:dyDescent="0.3">
      <c r="E465" s="17"/>
    </row>
    <row r="466" spans="5:5" ht="15.75" thickBot="1" x14ac:dyDescent="0.3">
      <c r="E466" s="17"/>
    </row>
    <row r="467" spans="5:5" ht="15.75" thickBot="1" x14ac:dyDescent="0.3">
      <c r="E467" s="17"/>
    </row>
    <row r="468" spans="5:5" ht="15.75" thickBot="1" x14ac:dyDescent="0.3">
      <c r="E468" s="17"/>
    </row>
    <row r="469" spans="5:5" ht="15.75" thickBot="1" x14ac:dyDescent="0.3">
      <c r="E469" s="17"/>
    </row>
    <row r="470" spans="5:5" ht="15.75" thickBot="1" x14ac:dyDescent="0.3">
      <c r="E470" s="17"/>
    </row>
    <row r="471" spans="5:5" ht="15.75" thickBot="1" x14ac:dyDescent="0.3">
      <c r="E471" s="17"/>
    </row>
    <row r="472" spans="5:5" ht="15.75" thickBot="1" x14ac:dyDescent="0.3">
      <c r="E472" s="17"/>
    </row>
    <row r="473" spans="5:5" ht="15.75" thickBot="1" x14ac:dyDescent="0.3">
      <c r="E473" s="17"/>
    </row>
    <row r="474" spans="5:5" ht="15.75" thickBot="1" x14ac:dyDescent="0.3">
      <c r="E474" s="17"/>
    </row>
    <row r="475" spans="5:5" ht="15.75" thickBot="1" x14ac:dyDescent="0.3">
      <c r="E475" s="17"/>
    </row>
    <row r="476" spans="5:5" ht="15.75" thickBot="1" x14ac:dyDescent="0.3">
      <c r="E476" s="17"/>
    </row>
    <row r="477" spans="5:5" ht="15.75" thickBot="1" x14ac:dyDescent="0.3">
      <c r="E477" s="17"/>
    </row>
    <row r="478" spans="5:5" ht="15.75" thickBot="1" x14ac:dyDescent="0.3">
      <c r="E478" s="17"/>
    </row>
    <row r="479" spans="5:5" ht="15.75" thickBot="1" x14ac:dyDescent="0.3">
      <c r="E479" s="17"/>
    </row>
    <row r="480" spans="5:5" ht="15.75" thickBot="1" x14ac:dyDescent="0.3">
      <c r="E480" s="17"/>
    </row>
    <row r="481" spans="5:5" ht="15.75" thickBot="1" x14ac:dyDescent="0.3">
      <c r="E481" s="17"/>
    </row>
    <row r="482" spans="5:5" ht="15.75" thickBot="1" x14ac:dyDescent="0.3">
      <c r="E482" s="17"/>
    </row>
    <row r="483" spans="5:5" ht="15.75" thickBot="1" x14ac:dyDescent="0.3">
      <c r="E483" s="17"/>
    </row>
    <row r="484" spans="5:5" ht="15.75" thickBot="1" x14ac:dyDescent="0.3">
      <c r="E484" s="17"/>
    </row>
    <row r="485" spans="5:5" ht="15.75" thickBot="1" x14ac:dyDescent="0.3">
      <c r="E485" s="17"/>
    </row>
    <row r="486" spans="5:5" ht="15.75" thickBot="1" x14ac:dyDescent="0.3">
      <c r="E486" s="17"/>
    </row>
    <row r="487" spans="5:5" ht="15.75" thickBot="1" x14ac:dyDescent="0.3">
      <c r="E487" s="17"/>
    </row>
    <row r="488" spans="5:5" ht="15.75" thickBot="1" x14ac:dyDescent="0.3">
      <c r="E488" s="17"/>
    </row>
    <row r="489" spans="5:5" ht="15.75" thickBot="1" x14ac:dyDescent="0.3">
      <c r="E489" s="17"/>
    </row>
    <row r="490" spans="5:5" ht="15.75" thickBot="1" x14ac:dyDescent="0.3">
      <c r="E490" s="17"/>
    </row>
    <row r="491" spans="5:5" ht="15.75" thickBot="1" x14ac:dyDescent="0.3">
      <c r="E491" s="17"/>
    </row>
    <row r="492" spans="5:5" ht="15.75" thickBot="1" x14ac:dyDescent="0.3">
      <c r="E492" s="17"/>
    </row>
    <row r="493" spans="5:5" ht="15.75" thickBot="1" x14ac:dyDescent="0.3">
      <c r="E493" s="17"/>
    </row>
    <row r="494" spans="5:5" ht="15.75" thickBot="1" x14ac:dyDescent="0.3">
      <c r="E494" s="17"/>
    </row>
    <row r="495" spans="5:5" ht="15.75" thickBot="1" x14ac:dyDescent="0.3">
      <c r="E495" s="17"/>
    </row>
    <row r="496" spans="5:5" ht="15.75" thickBot="1" x14ac:dyDescent="0.3">
      <c r="E496" s="17"/>
    </row>
    <row r="497" spans="5:5" ht="15.75" thickBot="1" x14ac:dyDescent="0.3">
      <c r="E497" s="17"/>
    </row>
    <row r="498" spans="5:5" ht="15.75" thickBot="1" x14ac:dyDescent="0.3">
      <c r="E498" s="17"/>
    </row>
    <row r="499" spans="5:5" ht="15.75" thickBot="1" x14ac:dyDescent="0.3">
      <c r="E499" s="17"/>
    </row>
    <row r="500" spans="5:5" ht="15.75" thickBot="1" x14ac:dyDescent="0.3">
      <c r="E500" s="17"/>
    </row>
    <row r="501" spans="5:5" ht="15.75" thickBot="1" x14ac:dyDescent="0.3">
      <c r="E501" s="17"/>
    </row>
    <row r="502" spans="5:5" ht="15.75" thickBot="1" x14ac:dyDescent="0.3">
      <c r="E502" s="17"/>
    </row>
    <row r="503" spans="5:5" ht="15.75" thickBot="1" x14ac:dyDescent="0.3">
      <c r="E503" s="17"/>
    </row>
    <row r="504" spans="5:5" ht="15.75" thickBot="1" x14ac:dyDescent="0.3">
      <c r="E504" s="17"/>
    </row>
    <row r="505" spans="5:5" ht="15.75" thickBot="1" x14ac:dyDescent="0.3">
      <c r="E505" s="17"/>
    </row>
    <row r="506" spans="5:5" ht="15.75" thickBot="1" x14ac:dyDescent="0.3">
      <c r="E506" s="17"/>
    </row>
    <row r="507" spans="5:5" ht="15.75" thickBot="1" x14ac:dyDescent="0.3">
      <c r="E507" s="17"/>
    </row>
    <row r="508" spans="5:5" ht="15.75" thickBot="1" x14ac:dyDescent="0.3">
      <c r="E508" s="17"/>
    </row>
    <row r="509" spans="5:5" ht="15.75" thickBot="1" x14ac:dyDescent="0.3">
      <c r="E509" s="17"/>
    </row>
    <row r="510" spans="5:5" ht="15.75" thickBot="1" x14ac:dyDescent="0.3">
      <c r="E510" s="17"/>
    </row>
    <row r="511" spans="5:5" ht="15.75" thickBot="1" x14ac:dyDescent="0.3">
      <c r="E511" s="17"/>
    </row>
    <row r="512" spans="5:5" ht="15.75" thickBot="1" x14ac:dyDescent="0.3">
      <c r="E512" s="17"/>
    </row>
    <row r="513" spans="5:5" ht="15.75" thickBot="1" x14ac:dyDescent="0.3">
      <c r="E513" s="17"/>
    </row>
    <row r="514" spans="5:5" ht="15.75" thickBot="1" x14ac:dyDescent="0.3">
      <c r="E514" s="17"/>
    </row>
    <row r="515" spans="5:5" ht="15.75" thickBot="1" x14ac:dyDescent="0.3">
      <c r="E515" s="17"/>
    </row>
    <row r="516" spans="5:5" ht="15.75" thickBot="1" x14ac:dyDescent="0.3">
      <c r="E516" s="17"/>
    </row>
    <row r="517" spans="5:5" ht="15.75" thickBot="1" x14ac:dyDescent="0.3">
      <c r="E517" s="17"/>
    </row>
    <row r="518" spans="5:5" ht="15.75" thickBot="1" x14ac:dyDescent="0.3">
      <c r="E518" s="17"/>
    </row>
    <row r="519" spans="5:5" ht="15.75" thickBot="1" x14ac:dyDescent="0.3">
      <c r="E519" s="17"/>
    </row>
    <row r="520" spans="5:5" ht="15.75" thickBot="1" x14ac:dyDescent="0.3">
      <c r="E520" s="17"/>
    </row>
    <row r="521" spans="5:5" ht="15.75" thickBot="1" x14ac:dyDescent="0.3">
      <c r="E521" s="17"/>
    </row>
    <row r="522" spans="5:5" ht="15.75" thickBot="1" x14ac:dyDescent="0.3">
      <c r="E522" s="17"/>
    </row>
    <row r="523" spans="5:5" ht="15.75" thickBot="1" x14ac:dyDescent="0.3">
      <c r="E523" s="17"/>
    </row>
    <row r="524" spans="5:5" ht="15.75" thickBot="1" x14ac:dyDescent="0.3">
      <c r="E524" s="17"/>
    </row>
    <row r="525" spans="5:5" ht="15.75" thickBot="1" x14ac:dyDescent="0.3">
      <c r="E525" s="17"/>
    </row>
    <row r="526" spans="5:5" ht="15.75" thickBot="1" x14ac:dyDescent="0.3">
      <c r="E526" s="17"/>
    </row>
    <row r="527" spans="5:5" ht="15.75" thickBot="1" x14ac:dyDescent="0.3">
      <c r="E527" s="17"/>
    </row>
    <row r="528" spans="5:5" ht="15.75" thickBot="1" x14ac:dyDescent="0.3">
      <c r="E528" s="17"/>
    </row>
    <row r="529" spans="5:5" ht="15.75" thickBot="1" x14ac:dyDescent="0.3">
      <c r="E529" s="17"/>
    </row>
    <row r="530" spans="5:5" ht="15.75" thickBot="1" x14ac:dyDescent="0.3">
      <c r="E530" s="17"/>
    </row>
    <row r="531" spans="5:5" ht="15.75" thickBot="1" x14ac:dyDescent="0.3">
      <c r="E531" s="17"/>
    </row>
    <row r="532" spans="5:5" ht="15.75" thickBot="1" x14ac:dyDescent="0.3">
      <c r="E532" s="17"/>
    </row>
    <row r="533" spans="5:5" ht="15.75" thickBot="1" x14ac:dyDescent="0.3">
      <c r="E533" s="17"/>
    </row>
    <row r="534" spans="5:5" ht="15.75" thickBot="1" x14ac:dyDescent="0.3">
      <c r="E534" s="17"/>
    </row>
    <row r="535" spans="5:5" ht="15.75" thickBot="1" x14ac:dyDescent="0.3">
      <c r="E535" s="17"/>
    </row>
    <row r="536" spans="5:5" ht="15.75" thickBot="1" x14ac:dyDescent="0.3">
      <c r="E536" s="17"/>
    </row>
    <row r="537" spans="5:5" ht="15.75" thickBot="1" x14ac:dyDescent="0.3">
      <c r="E537" s="17"/>
    </row>
    <row r="538" spans="5:5" ht="15.75" thickBot="1" x14ac:dyDescent="0.3">
      <c r="E538" s="17"/>
    </row>
    <row r="539" spans="5:5" ht="15.75" thickBot="1" x14ac:dyDescent="0.3">
      <c r="E539" s="17"/>
    </row>
    <row r="540" spans="5:5" ht="15.75" thickBot="1" x14ac:dyDescent="0.3">
      <c r="E540" s="17"/>
    </row>
    <row r="541" spans="5:5" ht="15.75" thickBot="1" x14ac:dyDescent="0.3">
      <c r="E541" s="17"/>
    </row>
    <row r="542" spans="5:5" ht="15.75" thickBot="1" x14ac:dyDescent="0.3">
      <c r="E542" s="17"/>
    </row>
    <row r="543" spans="5:5" ht="15.75" thickBot="1" x14ac:dyDescent="0.3">
      <c r="E543" s="17"/>
    </row>
    <row r="544" spans="5:5" ht="15.75" thickBot="1" x14ac:dyDescent="0.3">
      <c r="E544" s="17"/>
    </row>
    <row r="545" spans="5:5" ht="15.75" thickBot="1" x14ac:dyDescent="0.3">
      <c r="E545" s="17"/>
    </row>
    <row r="546" spans="5:5" ht="15.75" thickBot="1" x14ac:dyDescent="0.3">
      <c r="E546" s="17"/>
    </row>
    <row r="547" spans="5:5" ht="15.75" thickBot="1" x14ac:dyDescent="0.3">
      <c r="E547" s="17"/>
    </row>
    <row r="548" spans="5:5" ht="15.75" thickBot="1" x14ac:dyDescent="0.3">
      <c r="E548" s="17"/>
    </row>
    <row r="549" spans="5:5" ht="15.75" thickBot="1" x14ac:dyDescent="0.3">
      <c r="E549" s="17"/>
    </row>
    <row r="550" spans="5:5" ht="15.75" thickBot="1" x14ac:dyDescent="0.3">
      <c r="E550" s="17"/>
    </row>
    <row r="551" spans="5:5" ht="15.75" thickBot="1" x14ac:dyDescent="0.3">
      <c r="E551" s="17"/>
    </row>
    <row r="552" spans="5:5" ht="15.75" thickBot="1" x14ac:dyDescent="0.3">
      <c r="E552" s="17"/>
    </row>
    <row r="553" spans="5:5" ht="15.75" thickBot="1" x14ac:dyDescent="0.3">
      <c r="E553" s="17"/>
    </row>
    <row r="554" spans="5:5" ht="15.75" thickBot="1" x14ac:dyDescent="0.3">
      <c r="E554" s="17"/>
    </row>
    <row r="555" spans="5:5" ht="15.75" thickBot="1" x14ac:dyDescent="0.3">
      <c r="E555" s="17"/>
    </row>
    <row r="556" spans="5:5" ht="15.75" thickBot="1" x14ac:dyDescent="0.3">
      <c r="E556" s="17"/>
    </row>
    <row r="557" spans="5:5" ht="15.75" thickBot="1" x14ac:dyDescent="0.3">
      <c r="E557" s="17"/>
    </row>
    <row r="558" spans="5:5" ht="15.75" thickBot="1" x14ac:dyDescent="0.3">
      <c r="E558" s="17"/>
    </row>
    <row r="559" spans="5:5" ht="15.75" thickBot="1" x14ac:dyDescent="0.3">
      <c r="E559" s="17"/>
    </row>
    <row r="560" spans="5:5" ht="15.75" thickBot="1" x14ac:dyDescent="0.3">
      <c r="E560" s="17"/>
    </row>
    <row r="561" spans="5:5" ht="15.75" thickBot="1" x14ac:dyDescent="0.3">
      <c r="E561" s="17"/>
    </row>
    <row r="562" spans="5:5" ht="15.75" thickBot="1" x14ac:dyDescent="0.3">
      <c r="E562" s="17"/>
    </row>
    <row r="563" spans="5:5" ht="15.75" thickBot="1" x14ac:dyDescent="0.3">
      <c r="E563" s="17"/>
    </row>
    <row r="564" spans="5:5" ht="15.75" thickBot="1" x14ac:dyDescent="0.3">
      <c r="E564" s="17"/>
    </row>
    <row r="565" spans="5:5" ht="15.75" thickBot="1" x14ac:dyDescent="0.3">
      <c r="E565" s="17"/>
    </row>
    <row r="566" spans="5:5" ht="15.75" thickBot="1" x14ac:dyDescent="0.3">
      <c r="E566" s="17"/>
    </row>
    <row r="567" spans="5:5" ht="15.75" thickBot="1" x14ac:dyDescent="0.3">
      <c r="E567" s="17"/>
    </row>
    <row r="568" spans="5:5" ht="15.75" thickBot="1" x14ac:dyDescent="0.3">
      <c r="E568" s="17"/>
    </row>
    <row r="569" spans="5:5" ht="15.75" thickBot="1" x14ac:dyDescent="0.3">
      <c r="E569" s="17"/>
    </row>
    <row r="570" spans="5:5" ht="15.75" thickBot="1" x14ac:dyDescent="0.3">
      <c r="E570" s="17"/>
    </row>
    <row r="571" spans="5:5" ht="15.75" thickBot="1" x14ac:dyDescent="0.3">
      <c r="E571" s="17"/>
    </row>
    <row r="572" spans="5:5" ht="15.75" thickBot="1" x14ac:dyDescent="0.3">
      <c r="E572" s="17"/>
    </row>
    <row r="573" spans="5:5" ht="15.75" thickBot="1" x14ac:dyDescent="0.3">
      <c r="E573" s="17"/>
    </row>
    <row r="574" spans="5:5" ht="15.75" thickBot="1" x14ac:dyDescent="0.3">
      <c r="E574" s="17"/>
    </row>
    <row r="575" spans="5:5" ht="15.75" thickBot="1" x14ac:dyDescent="0.3">
      <c r="E575" s="17"/>
    </row>
    <row r="576" spans="5:5" ht="15.75" thickBot="1" x14ac:dyDescent="0.3">
      <c r="E576" s="17"/>
    </row>
    <row r="577" spans="5:5" ht="15.75" thickBot="1" x14ac:dyDescent="0.3">
      <c r="E577" s="17"/>
    </row>
    <row r="578" spans="5:5" ht="15.75" thickBot="1" x14ac:dyDescent="0.3">
      <c r="E578" s="17"/>
    </row>
    <row r="579" spans="5:5" ht="15.75" thickBot="1" x14ac:dyDescent="0.3">
      <c r="E579" s="17"/>
    </row>
    <row r="580" spans="5:5" ht="15.75" thickBot="1" x14ac:dyDescent="0.3">
      <c r="E580" s="17"/>
    </row>
    <row r="581" spans="5:5" ht="15.75" thickBot="1" x14ac:dyDescent="0.3">
      <c r="E581" s="17"/>
    </row>
    <row r="582" spans="5:5" ht="15.75" thickBot="1" x14ac:dyDescent="0.3">
      <c r="E582" s="17"/>
    </row>
    <row r="583" spans="5:5" ht="15.75" thickBot="1" x14ac:dyDescent="0.3">
      <c r="E583" s="17"/>
    </row>
    <row r="584" spans="5:5" ht="15.75" thickBot="1" x14ac:dyDescent="0.3">
      <c r="E584" s="17"/>
    </row>
    <row r="585" spans="5:5" ht="15.75" thickBot="1" x14ac:dyDescent="0.3">
      <c r="E585" s="17"/>
    </row>
    <row r="586" spans="5:5" ht="15.75" thickBot="1" x14ac:dyDescent="0.3">
      <c r="E586" s="17"/>
    </row>
    <row r="587" spans="5:5" ht="15.75" thickBot="1" x14ac:dyDescent="0.3">
      <c r="E587" s="17"/>
    </row>
    <row r="588" spans="5:5" ht="15.75" thickBot="1" x14ac:dyDescent="0.3">
      <c r="E588" s="17"/>
    </row>
    <row r="589" spans="5:5" ht="15.75" thickBot="1" x14ac:dyDescent="0.3">
      <c r="E589" s="17"/>
    </row>
    <row r="590" spans="5:5" ht="15.75" thickBot="1" x14ac:dyDescent="0.3">
      <c r="E590" s="17"/>
    </row>
    <row r="591" spans="5:5" ht="15.75" thickBot="1" x14ac:dyDescent="0.3">
      <c r="E591" s="17"/>
    </row>
    <row r="592" spans="5:5" ht="15.75" thickBot="1" x14ac:dyDescent="0.3">
      <c r="E592" s="17"/>
    </row>
    <row r="593" spans="5:5" ht="15.75" thickBot="1" x14ac:dyDescent="0.3">
      <c r="E593" s="17"/>
    </row>
    <row r="594" spans="5:5" ht="15.75" thickBot="1" x14ac:dyDescent="0.3">
      <c r="E594" s="17"/>
    </row>
    <row r="595" spans="5:5" ht="15.75" thickBot="1" x14ac:dyDescent="0.3">
      <c r="E595" s="17"/>
    </row>
    <row r="596" spans="5:5" ht="15.75" thickBot="1" x14ac:dyDescent="0.3">
      <c r="E596" s="17"/>
    </row>
    <row r="597" spans="5:5" ht="15.75" thickBot="1" x14ac:dyDescent="0.3">
      <c r="E597" s="17"/>
    </row>
    <row r="598" spans="5:5" ht="15.75" thickBot="1" x14ac:dyDescent="0.3">
      <c r="E598" s="17"/>
    </row>
    <row r="599" spans="5:5" ht="15.75" thickBot="1" x14ac:dyDescent="0.3">
      <c r="E599" s="17"/>
    </row>
    <row r="600" spans="5:5" ht="15.75" thickBot="1" x14ac:dyDescent="0.3">
      <c r="E600" s="17"/>
    </row>
    <row r="601" spans="5:5" ht="15.75" thickBot="1" x14ac:dyDescent="0.3">
      <c r="E601" s="17"/>
    </row>
    <row r="602" spans="5:5" ht="15.75" thickBot="1" x14ac:dyDescent="0.3">
      <c r="E602" s="17"/>
    </row>
    <row r="603" spans="5:5" ht="15.75" thickBot="1" x14ac:dyDescent="0.3">
      <c r="E603" s="17"/>
    </row>
    <row r="604" spans="5:5" ht="15.75" thickBot="1" x14ac:dyDescent="0.3">
      <c r="E604" s="17"/>
    </row>
    <row r="605" spans="5:5" ht="15.75" thickBot="1" x14ac:dyDescent="0.3">
      <c r="E605" s="17"/>
    </row>
    <row r="606" spans="5:5" ht="15.75" thickBot="1" x14ac:dyDescent="0.3">
      <c r="E606" s="17"/>
    </row>
    <row r="607" spans="5:5" ht="15.75" thickBot="1" x14ac:dyDescent="0.3">
      <c r="E607" s="17"/>
    </row>
    <row r="608" spans="5:5" ht="15.75" thickBot="1" x14ac:dyDescent="0.3">
      <c r="E608" s="17"/>
    </row>
    <row r="609" spans="5:5" ht="15.75" thickBot="1" x14ac:dyDescent="0.3">
      <c r="E609" s="17"/>
    </row>
    <row r="610" spans="5:5" ht="15.75" thickBot="1" x14ac:dyDescent="0.3">
      <c r="E610" s="17"/>
    </row>
    <row r="611" spans="5:5" ht="15.75" thickBot="1" x14ac:dyDescent="0.3">
      <c r="E611" s="17"/>
    </row>
    <row r="612" spans="5:5" ht="15.75" thickBot="1" x14ac:dyDescent="0.3">
      <c r="E612" s="17"/>
    </row>
    <row r="613" spans="5:5" ht="15.75" thickBot="1" x14ac:dyDescent="0.3">
      <c r="E613" s="17"/>
    </row>
    <row r="614" spans="5:5" ht="15.75" thickBot="1" x14ac:dyDescent="0.3">
      <c r="E614" s="17"/>
    </row>
    <row r="615" spans="5:5" ht="15.75" thickBot="1" x14ac:dyDescent="0.3">
      <c r="E615" s="17"/>
    </row>
    <row r="616" spans="5:5" ht="15.75" thickBot="1" x14ac:dyDescent="0.3">
      <c r="E616" s="17"/>
    </row>
    <row r="617" spans="5:5" ht="15.75" thickBot="1" x14ac:dyDescent="0.3">
      <c r="E617" s="17"/>
    </row>
    <row r="618" spans="5:5" ht="15.75" thickBot="1" x14ac:dyDescent="0.3">
      <c r="E618" s="17"/>
    </row>
    <row r="619" spans="5:5" ht="15.75" thickBot="1" x14ac:dyDescent="0.3">
      <c r="E619" s="17"/>
    </row>
    <row r="620" spans="5:5" ht="15.75" thickBot="1" x14ac:dyDescent="0.3">
      <c r="E620" s="17"/>
    </row>
    <row r="621" spans="5:5" ht="15.75" thickBot="1" x14ac:dyDescent="0.3">
      <c r="E621" s="17"/>
    </row>
    <row r="622" spans="5:5" ht="15.75" thickBot="1" x14ac:dyDescent="0.3">
      <c r="E622" s="17"/>
    </row>
    <row r="623" spans="5:5" ht="15.75" thickBot="1" x14ac:dyDescent="0.3">
      <c r="E623" s="17"/>
    </row>
    <row r="624" spans="5:5" ht="15.75" thickBot="1" x14ac:dyDescent="0.3">
      <c r="E624" s="17"/>
    </row>
    <row r="625" spans="5:5" ht="15.75" thickBot="1" x14ac:dyDescent="0.3">
      <c r="E625" s="17"/>
    </row>
    <row r="626" spans="5:5" ht="15.75" thickBot="1" x14ac:dyDescent="0.3">
      <c r="E626" s="17"/>
    </row>
    <row r="627" spans="5:5" ht="15.75" thickBot="1" x14ac:dyDescent="0.3">
      <c r="E627" s="17"/>
    </row>
    <row r="628" spans="5:5" ht="15.75" thickBot="1" x14ac:dyDescent="0.3">
      <c r="E628" s="17"/>
    </row>
    <row r="629" spans="5:5" ht="15.75" thickBot="1" x14ac:dyDescent="0.3">
      <c r="E629" s="17"/>
    </row>
    <row r="630" spans="5:5" ht="15.75" thickBot="1" x14ac:dyDescent="0.3">
      <c r="E630" s="17"/>
    </row>
    <row r="631" spans="5:5" ht="15.75" thickBot="1" x14ac:dyDescent="0.3">
      <c r="E631" s="17"/>
    </row>
    <row r="632" spans="5:5" ht="15.75" thickBot="1" x14ac:dyDescent="0.3">
      <c r="E632" s="17"/>
    </row>
    <row r="633" spans="5:5" ht="15.75" thickBot="1" x14ac:dyDescent="0.3">
      <c r="E633" s="17"/>
    </row>
    <row r="634" spans="5:5" ht="15.75" thickBot="1" x14ac:dyDescent="0.3">
      <c r="E634" s="17"/>
    </row>
    <row r="635" spans="5:5" ht="15.75" thickBot="1" x14ac:dyDescent="0.3">
      <c r="E635" s="17"/>
    </row>
    <row r="636" spans="5:5" ht="15.75" thickBot="1" x14ac:dyDescent="0.3">
      <c r="E636" s="17"/>
    </row>
    <row r="637" spans="5:5" ht="15.75" thickBot="1" x14ac:dyDescent="0.3">
      <c r="E637" s="17"/>
    </row>
    <row r="638" spans="5:5" ht="15.75" thickBot="1" x14ac:dyDescent="0.3">
      <c r="E638" s="17"/>
    </row>
    <row r="639" spans="5:5" ht="15.75" thickBot="1" x14ac:dyDescent="0.3">
      <c r="E639" s="17"/>
    </row>
    <row r="640" spans="5:5" ht="15.75" thickBot="1" x14ac:dyDescent="0.3">
      <c r="E640" s="17"/>
    </row>
    <row r="641" spans="5:5" ht="15.75" thickBot="1" x14ac:dyDescent="0.3">
      <c r="E641" s="17"/>
    </row>
    <row r="642" spans="5:5" ht="15.75" thickBot="1" x14ac:dyDescent="0.3">
      <c r="E642" s="17"/>
    </row>
    <row r="643" spans="5:5" ht="15.75" thickBot="1" x14ac:dyDescent="0.3">
      <c r="E643" s="17"/>
    </row>
    <row r="644" spans="5:5" ht="15.75" thickBot="1" x14ac:dyDescent="0.3">
      <c r="E644" s="17"/>
    </row>
    <row r="645" spans="5:5" ht="15.75" thickBot="1" x14ac:dyDescent="0.3">
      <c r="E645" s="17"/>
    </row>
    <row r="646" spans="5:5" ht="15.75" thickBot="1" x14ac:dyDescent="0.3">
      <c r="E646" s="17"/>
    </row>
    <row r="647" spans="5:5" ht="15.75" thickBot="1" x14ac:dyDescent="0.3">
      <c r="E647" s="17"/>
    </row>
    <row r="648" spans="5:5" ht="15.75" thickBot="1" x14ac:dyDescent="0.3">
      <c r="E648" s="17"/>
    </row>
    <row r="649" spans="5:5" ht="15.75" thickBot="1" x14ac:dyDescent="0.3">
      <c r="E649" s="17"/>
    </row>
    <row r="650" spans="5:5" ht="15.75" thickBot="1" x14ac:dyDescent="0.3">
      <c r="E650" s="17"/>
    </row>
    <row r="651" spans="5:5" ht="15.75" thickBot="1" x14ac:dyDescent="0.3">
      <c r="E651" s="17"/>
    </row>
    <row r="652" spans="5:5" ht="15.75" thickBot="1" x14ac:dyDescent="0.3">
      <c r="E652" s="17"/>
    </row>
    <row r="653" spans="5:5" ht="15.75" thickBot="1" x14ac:dyDescent="0.3">
      <c r="E653" s="17"/>
    </row>
    <row r="654" spans="5:5" ht="15.75" thickBot="1" x14ac:dyDescent="0.3">
      <c r="E654" s="17"/>
    </row>
    <row r="655" spans="5:5" ht="15.75" thickBot="1" x14ac:dyDescent="0.3">
      <c r="E655" s="17"/>
    </row>
    <row r="656" spans="5:5" ht="15.75" thickBot="1" x14ac:dyDescent="0.3">
      <c r="E656" s="17"/>
    </row>
    <row r="657" spans="5:5" ht="15.75" thickBot="1" x14ac:dyDescent="0.3">
      <c r="E657" s="17"/>
    </row>
    <row r="658" spans="5:5" ht="15.75" thickBot="1" x14ac:dyDescent="0.3">
      <c r="E658" s="17"/>
    </row>
    <row r="659" spans="5:5" ht="15.75" thickBot="1" x14ac:dyDescent="0.3">
      <c r="E659" s="17"/>
    </row>
    <row r="660" spans="5:5" ht="15.75" thickBot="1" x14ac:dyDescent="0.3">
      <c r="E660" s="17"/>
    </row>
    <row r="661" spans="5:5" ht="15.75" thickBot="1" x14ac:dyDescent="0.3">
      <c r="E661" s="17"/>
    </row>
    <row r="662" spans="5:5" ht="15.75" thickBot="1" x14ac:dyDescent="0.3">
      <c r="E662" s="17"/>
    </row>
    <row r="663" spans="5:5" ht="15.75" thickBot="1" x14ac:dyDescent="0.3">
      <c r="E663" s="17"/>
    </row>
    <row r="664" spans="5:5" ht="15.75" thickBot="1" x14ac:dyDescent="0.3">
      <c r="E664" s="17"/>
    </row>
    <row r="665" spans="5:5" ht="15.75" thickBot="1" x14ac:dyDescent="0.3">
      <c r="E665" s="17"/>
    </row>
    <row r="666" spans="5:5" ht="15.75" thickBot="1" x14ac:dyDescent="0.3">
      <c r="E666" s="17"/>
    </row>
    <row r="667" spans="5:5" ht="15.75" thickBot="1" x14ac:dyDescent="0.3">
      <c r="E667" s="17"/>
    </row>
    <row r="668" spans="5:5" ht="15.75" thickBot="1" x14ac:dyDescent="0.3">
      <c r="E668" s="17"/>
    </row>
    <row r="669" spans="5:5" ht="15.75" thickBot="1" x14ac:dyDescent="0.3">
      <c r="E669" s="17"/>
    </row>
    <row r="670" spans="5:5" ht="15.75" thickBot="1" x14ac:dyDescent="0.3">
      <c r="E670" s="17"/>
    </row>
    <row r="671" spans="5:5" ht="15.75" thickBot="1" x14ac:dyDescent="0.3">
      <c r="E671" s="17"/>
    </row>
    <row r="672" spans="5:5" ht="15.75" thickBot="1" x14ac:dyDescent="0.3">
      <c r="E672" s="17"/>
    </row>
    <row r="673" spans="5:5" ht="15.75" thickBot="1" x14ac:dyDescent="0.3">
      <c r="E673" s="17"/>
    </row>
    <row r="674" spans="5:5" ht="15.75" thickBot="1" x14ac:dyDescent="0.3">
      <c r="E674" s="17"/>
    </row>
    <row r="675" spans="5:5" ht="15.75" thickBot="1" x14ac:dyDescent="0.3">
      <c r="E675" s="17"/>
    </row>
    <row r="676" spans="5:5" ht="15.75" thickBot="1" x14ac:dyDescent="0.3">
      <c r="E676" s="17"/>
    </row>
    <row r="677" spans="5:5" ht="15.75" thickBot="1" x14ac:dyDescent="0.3">
      <c r="E677" s="17"/>
    </row>
    <row r="678" spans="5:5" ht="15.75" thickBot="1" x14ac:dyDescent="0.3">
      <c r="E678" s="17"/>
    </row>
    <row r="679" spans="5:5" ht="15.75" thickBot="1" x14ac:dyDescent="0.3">
      <c r="E679" s="17"/>
    </row>
    <row r="680" spans="5:5" ht="15.75" thickBot="1" x14ac:dyDescent="0.3">
      <c r="E680" s="17"/>
    </row>
    <row r="681" spans="5:5" ht="15.75" thickBot="1" x14ac:dyDescent="0.3">
      <c r="E681" s="17"/>
    </row>
    <row r="682" spans="5:5" ht="15.75" thickBot="1" x14ac:dyDescent="0.3">
      <c r="E682" s="17"/>
    </row>
    <row r="683" spans="5:5" ht="15.75" thickBot="1" x14ac:dyDescent="0.3">
      <c r="E683" s="17"/>
    </row>
    <row r="684" spans="5:5" ht="15.75" thickBot="1" x14ac:dyDescent="0.3">
      <c r="E684" s="17"/>
    </row>
    <row r="685" spans="5:5" ht="15.75" thickBot="1" x14ac:dyDescent="0.3">
      <c r="E685" s="17"/>
    </row>
    <row r="686" spans="5:5" ht="15.75" thickBot="1" x14ac:dyDescent="0.3">
      <c r="E686" s="17"/>
    </row>
    <row r="687" spans="5:5" ht="15.75" thickBot="1" x14ac:dyDescent="0.3">
      <c r="E687" s="17"/>
    </row>
    <row r="688" spans="5:5" ht="15.75" thickBot="1" x14ac:dyDescent="0.3">
      <c r="E688" s="17"/>
    </row>
    <row r="689" spans="5:5" ht="15.75" thickBot="1" x14ac:dyDescent="0.3">
      <c r="E689" s="17"/>
    </row>
    <row r="690" spans="5:5" ht="15.75" thickBot="1" x14ac:dyDescent="0.3">
      <c r="E690" s="17"/>
    </row>
    <row r="691" spans="5:5" ht="15.75" thickBot="1" x14ac:dyDescent="0.3">
      <c r="E691" s="17"/>
    </row>
    <row r="692" spans="5:5" ht="15.75" thickBot="1" x14ac:dyDescent="0.3">
      <c r="E692" s="17"/>
    </row>
    <row r="693" spans="5:5" ht="15.75" thickBot="1" x14ac:dyDescent="0.3">
      <c r="E693" s="17"/>
    </row>
    <row r="694" spans="5:5" ht="15.75" thickBot="1" x14ac:dyDescent="0.3">
      <c r="E694" s="17"/>
    </row>
    <row r="695" spans="5:5" ht="15.75" thickBot="1" x14ac:dyDescent="0.3">
      <c r="E695" s="17"/>
    </row>
    <row r="696" spans="5:5" ht="15.75" thickBot="1" x14ac:dyDescent="0.3">
      <c r="E696" s="17"/>
    </row>
    <row r="697" spans="5:5" ht="15.75" thickBot="1" x14ac:dyDescent="0.3">
      <c r="E697" s="17"/>
    </row>
    <row r="698" spans="5:5" ht="15.75" thickBot="1" x14ac:dyDescent="0.3">
      <c r="E698" s="17"/>
    </row>
    <row r="699" spans="5:5" ht="15.75" thickBot="1" x14ac:dyDescent="0.3">
      <c r="E699" s="17"/>
    </row>
    <row r="700" spans="5:5" ht="15.75" thickBot="1" x14ac:dyDescent="0.3">
      <c r="E700" s="17"/>
    </row>
    <row r="701" spans="5:5" ht="15.75" thickBot="1" x14ac:dyDescent="0.3">
      <c r="E701" s="17"/>
    </row>
    <row r="702" spans="5:5" ht="15.75" thickBot="1" x14ac:dyDescent="0.3">
      <c r="E702" s="17"/>
    </row>
    <row r="703" spans="5:5" ht="15.75" thickBot="1" x14ac:dyDescent="0.3">
      <c r="E703" s="17"/>
    </row>
    <row r="704" spans="5:5" ht="15.75" thickBot="1" x14ac:dyDescent="0.3">
      <c r="E704" s="17"/>
    </row>
    <row r="705" spans="5:5" ht="15.75" thickBot="1" x14ac:dyDescent="0.3">
      <c r="E705" s="17"/>
    </row>
    <row r="706" spans="5:5" ht="15.75" thickBot="1" x14ac:dyDescent="0.3">
      <c r="E706" s="17"/>
    </row>
    <row r="707" spans="5:5" ht="15.75" thickBot="1" x14ac:dyDescent="0.3">
      <c r="E707" s="17"/>
    </row>
    <row r="708" spans="5:5" ht="15.75" thickBot="1" x14ac:dyDescent="0.3">
      <c r="E708" s="17"/>
    </row>
    <row r="709" spans="5:5" ht="15.75" thickBot="1" x14ac:dyDescent="0.3">
      <c r="E709" s="17"/>
    </row>
    <row r="710" spans="5:5" ht="15.75" thickBot="1" x14ac:dyDescent="0.3">
      <c r="E710" s="17"/>
    </row>
    <row r="711" spans="5:5" ht="15.75" thickBot="1" x14ac:dyDescent="0.3">
      <c r="E711" s="17"/>
    </row>
    <row r="712" spans="5:5" ht="15.75" thickBot="1" x14ac:dyDescent="0.3">
      <c r="E712" s="17"/>
    </row>
    <row r="713" spans="5:5" ht="15.75" thickBot="1" x14ac:dyDescent="0.3">
      <c r="E713" s="17"/>
    </row>
    <row r="714" spans="5:5" ht="15.75" thickBot="1" x14ac:dyDescent="0.3">
      <c r="E714" s="17"/>
    </row>
    <row r="715" spans="5:5" ht="15.75" thickBot="1" x14ac:dyDescent="0.3">
      <c r="E715" s="17"/>
    </row>
    <row r="716" spans="5:5" ht="15.75" thickBot="1" x14ac:dyDescent="0.3">
      <c r="E716" s="17"/>
    </row>
    <row r="717" spans="5:5" ht="15.75" thickBot="1" x14ac:dyDescent="0.3">
      <c r="E717" s="17"/>
    </row>
    <row r="718" spans="5:5" ht="15.75" thickBot="1" x14ac:dyDescent="0.3">
      <c r="E718" s="17"/>
    </row>
    <row r="719" spans="5:5" ht="15.75" thickBot="1" x14ac:dyDescent="0.3">
      <c r="E719" s="17"/>
    </row>
    <row r="720" spans="5:5" ht="15.75" thickBot="1" x14ac:dyDescent="0.3">
      <c r="E720" s="17"/>
    </row>
    <row r="721" spans="5:5" ht="15.75" thickBot="1" x14ac:dyDescent="0.3">
      <c r="E721" s="17"/>
    </row>
    <row r="722" spans="5:5" ht="15.75" thickBot="1" x14ac:dyDescent="0.3">
      <c r="E722" s="17"/>
    </row>
    <row r="723" spans="5:5" ht="15.75" thickBot="1" x14ac:dyDescent="0.3">
      <c r="E723" s="17"/>
    </row>
    <row r="724" spans="5:5" ht="15.75" thickBot="1" x14ac:dyDescent="0.3">
      <c r="E724" s="17"/>
    </row>
    <row r="725" spans="5:5" ht="15.75" thickBot="1" x14ac:dyDescent="0.3">
      <c r="E725" s="17"/>
    </row>
    <row r="726" spans="5:5" ht="15.75" thickBot="1" x14ac:dyDescent="0.3">
      <c r="E726" s="17"/>
    </row>
    <row r="727" spans="5:5" ht="15.75" thickBot="1" x14ac:dyDescent="0.3">
      <c r="E727" s="17"/>
    </row>
    <row r="728" spans="5:5" ht="15.75" thickBot="1" x14ac:dyDescent="0.3">
      <c r="E728" s="17"/>
    </row>
    <row r="729" spans="5:5" ht="15.75" thickBot="1" x14ac:dyDescent="0.3">
      <c r="E729" s="17"/>
    </row>
    <row r="730" spans="5:5" ht="15.75" thickBot="1" x14ac:dyDescent="0.3">
      <c r="E730" s="17"/>
    </row>
    <row r="731" spans="5:5" ht="15.75" thickBot="1" x14ac:dyDescent="0.3">
      <c r="E731" s="17"/>
    </row>
    <row r="732" spans="5:5" ht="15.75" thickBot="1" x14ac:dyDescent="0.3">
      <c r="E732" s="17"/>
    </row>
    <row r="733" spans="5:5" ht="15.75" thickBot="1" x14ac:dyDescent="0.3">
      <c r="E733" s="17"/>
    </row>
    <row r="734" spans="5:5" ht="15.75" thickBot="1" x14ac:dyDescent="0.3">
      <c r="E734" s="17"/>
    </row>
    <row r="735" spans="5:5" ht="15.75" thickBot="1" x14ac:dyDescent="0.3">
      <c r="E735" s="17"/>
    </row>
    <row r="736" spans="5:5" ht="15.75" thickBot="1" x14ac:dyDescent="0.3">
      <c r="E736" s="17"/>
    </row>
    <row r="737" spans="5:5" ht="15.75" thickBot="1" x14ac:dyDescent="0.3">
      <c r="E737" s="17"/>
    </row>
    <row r="738" spans="5:5" ht="15.75" thickBot="1" x14ac:dyDescent="0.3">
      <c r="E738" s="17"/>
    </row>
    <row r="739" spans="5:5" ht="15.75" thickBot="1" x14ac:dyDescent="0.3">
      <c r="E739" s="17"/>
    </row>
    <row r="740" spans="5:5" ht="15.75" thickBot="1" x14ac:dyDescent="0.3">
      <c r="E740" s="17"/>
    </row>
    <row r="741" spans="5:5" ht="15.75" thickBot="1" x14ac:dyDescent="0.3">
      <c r="E741" s="17"/>
    </row>
    <row r="742" spans="5:5" ht="15.75" thickBot="1" x14ac:dyDescent="0.3">
      <c r="E742" s="17"/>
    </row>
    <row r="743" spans="5:5" ht="15.75" thickBot="1" x14ac:dyDescent="0.3">
      <c r="E743" s="17"/>
    </row>
    <row r="744" spans="5:5" ht="15.75" thickBot="1" x14ac:dyDescent="0.3">
      <c r="E744" s="17"/>
    </row>
    <row r="745" spans="5:5" ht="15.75" thickBot="1" x14ac:dyDescent="0.3">
      <c r="E745" s="17"/>
    </row>
    <row r="746" spans="5:5" ht="15.75" thickBot="1" x14ac:dyDescent="0.3">
      <c r="E746" s="17"/>
    </row>
    <row r="747" spans="5:5" ht="15.75" thickBot="1" x14ac:dyDescent="0.3">
      <c r="E747" s="17"/>
    </row>
    <row r="748" spans="5:5" ht="15.75" thickBot="1" x14ac:dyDescent="0.3">
      <c r="E748" s="17"/>
    </row>
    <row r="749" spans="5:5" ht="15.75" thickBot="1" x14ac:dyDescent="0.3">
      <c r="E749" s="17"/>
    </row>
    <row r="750" spans="5:5" ht="15.75" thickBot="1" x14ac:dyDescent="0.3">
      <c r="E750" s="17"/>
    </row>
    <row r="751" spans="5:5" ht="15.75" thickBot="1" x14ac:dyDescent="0.3">
      <c r="E751" s="17"/>
    </row>
    <row r="752" spans="5:5" ht="15.75" thickBot="1" x14ac:dyDescent="0.3">
      <c r="E752" s="17"/>
    </row>
    <row r="753" spans="5:5" ht="15.75" thickBot="1" x14ac:dyDescent="0.3">
      <c r="E753" s="17"/>
    </row>
    <row r="754" spans="5:5" ht="15.75" thickBot="1" x14ac:dyDescent="0.3">
      <c r="E754" s="17"/>
    </row>
    <row r="755" spans="5:5" ht="15.75" thickBot="1" x14ac:dyDescent="0.3">
      <c r="E755" s="17"/>
    </row>
    <row r="756" spans="5:5" ht="15.75" thickBot="1" x14ac:dyDescent="0.3">
      <c r="E756" s="17"/>
    </row>
    <row r="757" spans="5:5" ht="15.75" thickBot="1" x14ac:dyDescent="0.3">
      <c r="E757" s="17"/>
    </row>
    <row r="758" spans="5:5" ht="15.75" thickBot="1" x14ac:dyDescent="0.3">
      <c r="E758" s="17"/>
    </row>
    <row r="759" spans="5:5" ht="15.75" thickBot="1" x14ac:dyDescent="0.3">
      <c r="E759" s="17"/>
    </row>
    <row r="760" spans="5:5" ht="15.75" thickBot="1" x14ac:dyDescent="0.3">
      <c r="E760" s="17"/>
    </row>
    <row r="761" spans="5:5" ht="15.75" thickBot="1" x14ac:dyDescent="0.3">
      <c r="E761" s="17"/>
    </row>
    <row r="762" spans="5:5" ht="15.75" thickBot="1" x14ac:dyDescent="0.3">
      <c r="E762" s="17"/>
    </row>
    <row r="763" spans="5:5" ht="15.75" thickBot="1" x14ac:dyDescent="0.3">
      <c r="E763" s="17"/>
    </row>
    <row r="764" spans="5:5" ht="15.75" thickBot="1" x14ac:dyDescent="0.3">
      <c r="E764" s="17"/>
    </row>
    <row r="765" spans="5:5" ht="15.75" thickBot="1" x14ac:dyDescent="0.3">
      <c r="E765" s="17"/>
    </row>
    <row r="766" spans="5:5" ht="15.75" thickBot="1" x14ac:dyDescent="0.3">
      <c r="E766" s="17"/>
    </row>
    <row r="767" spans="5:5" ht="15.75" thickBot="1" x14ac:dyDescent="0.3">
      <c r="E767" s="17"/>
    </row>
    <row r="768" spans="5:5" ht="15.75" thickBot="1" x14ac:dyDescent="0.3">
      <c r="E768" s="17"/>
    </row>
    <row r="769" spans="5:5" ht="15.75" thickBot="1" x14ac:dyDescent="0.3">
      <c r="E769" s="17"/>
    </row>
    <row r="770" spans="5:5" ht="15.75" thickBot="1" x14ac:dyDescent="0.3">
      <c r="E770" s="17"/>
    </row>
    <row r="771" spans="5:5" ht="15.75" thickBot="1" x14ac:dyDescent="0.3">
      <c r="E771" s="17"/>
    </row>
    <row r="772" spans="5:5" ht="15.75" thickBot="1" x14ac:dyDescent="0.3">
      <c r="E772" s="17"/>
    </row>
    <row r="773" spans="5:5" ht="15.75" thickBot="1" x14ac:dyDescent="0.3">
      <c r="E773" s="17"/>
    </row>
    <row r="774" spans="5:5" ht="15.75" thickBot="1" x14ac:dyDescent="0.3">
      <c r="E774" s="17"/>
    </row>
    <row r="775" spans="5:5" ht="15.75" thickBot="1" x14ac:dyDescent="0.3">
      <c r="E775" s="17"/>
    </row>
    <row r="776" spans="5:5" ht="15.75" thickBot="1" x14ac:dyDescent="0.3">
      <c r="E776" s="17"/>
    </row>
    <row r="777" spans="5:5" ht="15.75" thickBot="1" x14ac:dyDescent="0.3">
      <c r="E777" s="17"/>
    </row>
    <row r="778" spans="5:5" ht="15.75" thickBot="1" x14ac:dyDescent="0.3">
      <c r="E778" s="17"/>
    </row>
    <row r="779" spans="5:5" ht="15.75" thickBot="1" x14ac:dyDescent="0.3">
      <c r="E779" s="17"/>
    </row>
    <row r="780" spans="5:5" ht="15.75" thickBot="1" x14ac:dyDescent="0.3">
      <c r="E780" s="17"/>
    </row>
    <row r="781" spans="5:5" ht="15.75" thickBot="1" x14ac:dyDescent="0.3">
      <c r="E781" s="17"/>
    </row>
    <row r="782" spans="5:5" ht="15.75" thickBot="1" x14ac:dyDescent="0.3">
      <c r="E782" s="17"/>
    </row>
    <row r="783" spans="5:5" ht="15.75" thickBot="1" x14ac:dyDescent="0.3">
      <c r="E783" s="17"/>
    </row>
    <row r="784" spans="5:5" ht="15.75" thickBot="1" x14ac:dyDescent="0.3">
      <c r="E784" s="17"/>
    </row>
    <row r="785" spans="5:5" ht="15.75" thickBot="1" x14ac:dyDescent="0.3">
      <c r="E785" s="17"/>
    </row>
    <row r="786" spans="5:5" ht="15.75" thickBot="1" x14ac:dyDescent="0.3">
      <c r="E786" s="17"/>
    </row>
    <row r="787" spans="5:5" ht="15.75" thickBot="1" x14ac:dyDescent="0.3">
      <c r="E787" s="17"/>
    </row>
    <row r="788" spans="5:5" ht="15.75" thickBot="1" x14ac:dyDescent="0.3">
      <c r="E788" s="17"/>
    </row>
    <row r="789" spans="5:5" ht="15.75" thickBot="1" x14ac:dyDescent="0.3">
      <c r="E789" s="17"/>
    </row>
    <row r="790" spans="5:5" ht="15.75" thickBot="1" x14ac:dyDescent="0.3">
      <c r="E790" s="17"/>
    </row>
    <row r="791" spans="5:5" ht="15.75" thickBot="1" x14ac:dyDescent="0.3">
      <c r="E791" s="17"/>
    </row>
    <row r="792" spans="5:5" ht="15.75" thickBot="1" x14ac:dyDescent="0.3">
      <c r="E792" s="17"/>
    </row>
    <row r="793" spans="5:5" ht="15.75" thickBot="1" x14ac:dyDescent="0.3">
      <c r="E793" s="17"/>
    </row>
    <row r="794" spans="5:5" ht="15.75" thickBot="1" x14ac:dyDescent="0.3">
      <c r="E794" s="17"/>
    </row>
    <row r="795" spans="5:5" ht="15.75" thickBot="1" x14ac:dyDescent="0.3">
      <c r="E795" s="17"/>
    </row>
    <row r="796" spans="5:5" ht="15.75" thickBot="1" x14ac:dyDescent="0.3">
      <c r="E796" s="17"/>
    </row>
    <row r="797" spans="5:5" ht="15.75" thickBot="1" x14ac:dyDescent="0.3">
      <c r="E797" s="17"/>
    </row>
    <row r="798" spans="5:5" ht="15.75" thickBot="1" x14ac:dyDescent="0.3">
      <c r="E798" s="17"/>
    </row>
    <row r="799" spans="5:5" ht="15.75" thickBot="1" x14ac:dyDescent="0.3">
      <c r="E799" s="17"/>
    </row>
    <row r="800" spans="5:5" ht="15.75" thickBot="1" x14ac:dyDescent="0.3">
      <c r="E800" s="17"/>
    </row>
    <row r="801" spans="5:5" ht="15.75" thickBot="1" x14ac:dyDescent="0.3">
      <c r="E801" s="17"/>
    </row>
    <row r="802" spans="5:5" ht="15.75" thickBot="1" x14ac:dyDescent="0.3">
      <c r="E802" s="17"/>
    </row>
    <row r="803" spans="5:5" ht="15.75" thickBot="1" x14ac:dyDescent="0.3">
      <c r="E803" s="17"/>
    </row>
    <row r="804" spans="5:5" ht="15.75" thickBot="1" x14ac:dyDescent="0.3">
      <c r="E804" s="17"/>
    </row>
    <row r="805" spans="5:5" ht="15.75" thickBot="1" x14ac:dyDescent="0.3">
      <c r="E805" s="17"/>
    </row>
    <row r="806" spans="5:5" ht="15.75" thickBot="1" x14ac:dyDescent="0.3">
      <c r="E806" s="17"/>
    </row>
    <row r="807" spans="5:5" ht="15.75" thickBot="1" x14ac:dyDescent="0.3">
      <c r="E807" s="17"/>
    </row>
    <row r="808" spans="5:5" ht="15.75" thickBot="1" x14ac:dyDescent="0.3">
      <c r="E808" s="17"/>
    </row>
    <row r="809" spans="5:5" ht="15.75" thickBot="1" x14ac:dyDescent="0.3">
      <c r="E809" s="17"/>
    </row>
    <row r="810" spans="5:5" ht="15.75" thickBot="1" x14ac:dyDescent="0.3">
      <c r="E810" s="17"/>
    </row>
    <row r="811" spans="5:5" ht="15.75" thickBot="1" x14ac:dyDescent="0.3">
      <c r="E811" s="17"/>
    </row>
    <row r="812" spans="5:5" ht="15.75" thickBot="1" x14ac:dyDescent="0.3">
      <c r="E812" s="17"/>
    </row>
    <row r="813" spans="5:5" ht="15.75" thickBot="1" x14ac:dyDescent="0.3">
      <c r="E813" s="17"/>
    </row>
    <row r="814" spans="5:5" ht="15.75" thickBot="1" x14ac:dyDescent="0.3">
      <c r="E814" s="17"/>
    </row>
    <row r="815" spans="5:5" ht="15.75" thickBot="1" x14ac:dyDescent="0.3">
      <c r="E815" s="17"/>
    </row>
    <row r="816" spans="5:5" ht="15.75" thickBot="1" x14ac:dyDescent="0.3">
      <c r="E816" s="17"/>
    </row>
    <row r="817" spans="5:5" ht="15.75" thickBot="1" x14ac:dyDescent="0.3">
      <c r="E817" s="17"/>
    </row>
    <row r="818" spans="5:5" ht="15.75" thickBot="1" x14ac:dyDescent="0.3">
      <c r="E818" s="17"/>
    </row>
    <row r="819" spans="5:5" ht="15.75" thickBot="1" x14ac:dyDescent="0.3">
      <c r="E819" s="17"/>
    </row>
    <row r="820" spans="5:5" ht="15.75" thickBot="1" x14ac:dyDescent="0.3">
      <c r="E820" s="17"/>
    </row>
    <row r="821" spans="5:5" ht="15.75" thickBot="1" x14ac:dyDescent="0.3">
      <c r="E821" s="17"/>
    </row>
    <row r="822" spans="5:5" ht="15.75" thickBot="1" x14ac:dyDescent="0.3">
      <c r="E822" s="17"/>
    </row>
    <row r="823" spans="5:5" ht="15.75" thickBot="1" x14ac:dyDescent="0.3">
      <c r="E823" s="17"/>
    </row>
    <row r="824" spans="5:5" ht="15.75" thickBot="1" x14ac:dyDescent="0.3">
      <c r="E824" s="17"/>
    </row>
    <row r="825" spans="5:5" ht="15.75" thickBot="1" x14ac:dyDescent="0.3">
      <c r="E825" s="17"/>
    </row>
    <row r="826" spans="5:5" ht="15.75" thickBot="1" x14ac:dyDescent="0.3">
      <c r="E826" s="17"/>
    </row>
    <row r="827" spans="5:5" ht="15.75" thickBot="1" x14ac:dyDescent="0.3">
      <c r="E827" s="17"/>
    </row>
    <row r="828" spans="5:5" ht="15.75" thickBot="1" x14ac:dyDescent="0.3">
      <c r="E828" s="17"/>
    </row>
    <row r="829" spans="5:5" ht="15.75" thickBot="1" x14ac:dyDescent="0.3">
      <c r="E829" s="17"/>
    </row>
    <row r="830" spans="5:5" ht="15.75" thickBot="1" x14ac:dyDescent="0.3">
      <c r="E830" s="17"/>
    </row>
    <row r="831" spans="5:5" ht="15.75" thickBot="1" x14ac:dyDescent="0.3">
      <c r="E831" s="17"/>
    </row>
    <row r="832" spans="5:5" ht="15.75" thickBot="1" x14ac:dyDescent="0.3">
      <c r="E832" s="17"/>
    </row>
    <row r="833" spans="5:5" ht="15.75" thickBot="1" x14ac:dyDescent="0.3">
      <c r="E833" s="17"/>
    </row>
    <row r="834" spans="5:5" ht="15.75" thickBot="1" x14ac:dyDescent="0.3">
      <c r="E834" s="17"/>
    </row>
    <row r="835" spans="5:5" ht="15.75" thickBot="1" x14ac:dyDescent="0.3">
      <c r="E835" s="17"/>
    </row>
    <row r="836" spans="5:5" ht="15.75" thickBot="1" x14ac:dyDescent="0.3">
      <c r="E836" s="17"/>
    </row>
    <row r="837" spans="5:5" ht="15.75" thickBot="1" x14ac:dyDescent="0.3">
      <c r="E837" s="17"/>
    </row>
    <row r="838" spans="5:5" ht="15.75" thickBot="1" x14ac:dyDescent="0.3">
      <c r="E838" s="17"/>
    </row>
    <row r="839" spans="5:5" ht="15.75" thickBot="1" x14ac:dyDescent="0.3">
      <c r="E839" s="17"/>
    </row>
    <row r="840" spans="5:5" ht="15.75" thickBot="1" x14ac:dyDescent="0.3">
      <c r="E840" s="17"/>
    </row>
    <row r="841" spans="5:5" ht="15.75" thickBot="1" x14ac:dyDescent="0.3">
      <c r="E841" s="17"/>
    </row>
    <row r="842" spans="5:5" ht="15.75" thickBot="1" x14ac:dyDescent="0.3">
      <c r="E842" s="17"/>
    </row>
    <row r="843" spans="5:5" ht="15.75" thickBot="1" x14ac:dyDescent="0.3">
      <c r="E843" s="17"/>
    </row>
    <row r="844" spans="5:5" ht="15.75" thickBot="1" x14ac:dyDescent="0.3">
      <c r="E844" s="17"/>
    </row>
    <row r="845" spans="5:5" ht="15.75" thickBot="1" x14ac:dyDescent="0.3">
      <c r="E845" s="17"/>
    </row>
    <row r="846" spans="5:5" ht="15.75" thickBot="1" x14ac:dyDescent="0.3">
      <c r="E846" s="17"/>
    </row>
    <row r="847" spans="5:5" ht="15.75" thickBot="1" x14ac:dyDescent="0.3">
      <c r="E847" s="17"/>
    </row>
    <row r="848" spans="5:5" ht="15.75" thickBot="1" x14ac:dyDescent="0.3">
      <c r="E848" s="17"/>
    </row>
    <row r="849" spans="5:5" ht="15.75" thickBot="1" x14ac:dyDescent="0.3">
      <c r="E849" s="17"/>
    </row>
    <row r="850" spans="5:5" ht="15.75" thickBot="1" x14ac:dyDescent="0.3">
      <c r="E850" s="17"/>
    </row>
    <row r="851" spans="5:5" ht="15.75" thickBot="1" x14ac:dyDescent="0.3">
      <c r="E851" s="17"/>
    </row>
    <row r="852" spans="5:5" ht="15.75" thickBot="1" x14ac:dyDescent="0.3">
      <c r="E852" s="17"/>
    </row>
    <row r="853" spans="5:5" ht="15.75" thickBot="1" x14ac:dyDescent="0.3">
      <c r="E853" s="17"/>
    </row>
    <row r="854" spans="5:5" ht="15.75" thickBot="1" x14ac:dyDescent="0.3">
      <c r="E854" s="17"/>
    </row>
    <row r="855" spans="5:5" ht="15.75" thickBot="1" x14ac:dyDescent="0.3">
      <c r="E855" s="17"/>
    </row>
    <row r="856" spans="5:5" ht="15.75" thickBot="1" x14ac:dyDescent="0.3">
      <c r="E856" s="17"/>
    </row>
    <row r="857" spans="5:5" ht="15.75" thickBot="1" x14ac:dyDescent="0.3">
      <c r="E857" s="17"/>
    </row>
    <row r="858" spans="5:5" ht="15.75" thickBot="1" x14ac:dyDescent="0.3">
      <c r="E858" s="17"/>
    </row>
    <row r="859" spans="5:5" ht="15.75" thickBot="1" x14ac:dyDescent="0.3">
      <c r="E859" s="17"/>
    </row>
    <row r="860" spans="5:5" ht="15.75" thickBot="1" x14ac:dyDescent="0.3">
      <c r="E860" s="17"/>
    </row>
    <row r="861" spans="5:5" ht="15.75" thickBot="1" x14ac:dyDescent="0.3">
      <c r="E861" s="17"/>
    </row>
    <row r="862" spans="5:5" ht="15.75" thickBot="1" x14ac:dyDescent="0.3">
      <c r="E862" s="17"/>
    </row>
    <row r="863" spans="5:5" ht="15.75" thickBot="1" x14ac:dyDescent="0.3">
      <c r="E863" s="17"/>
    </row>
    <row r="864" spans="5:5" ht="15.75" thickBot="1" x14ac:dyDescent="0.3">
      <c r="E864" s="17"/>
    </row>
    <row r="865" spans="5:5" ht="15.75" thickBot="1" x14ac:dyDescent="0.3">
      <c r="E865" s="17"/>
    </row>
    <row r="866" spans="5:5" ht="15.75" thickBot="1" x14ac:dyDescent="0.3">
      <c r="E866" s="17"/>
    </row>
    <row r="867" spans="5:5" ht="15.75" thickBot="1" x14ac:dyDescent="0.3">
      <c r="E867" s="17"/>
    </row>
    <row r="868" spans="5:5" ht="15.75" thickBot="1" x14ac:dyDescent="0.3">
      <c r="E868" s="17"/>
    </row>
    <row r="869" spans="5:5" ht="15.75" thickBot="1" x14ac:dyDescent="0.3">
      <c r="E869" s="17"/>
    </row>
    <row r="870" spans="5:5" ht="15.75" thickBot="1" x14ac:dyDescent="0.3">
      <c r="E870" s="17"/>
    </row>
    <row r="871" spans="5:5" ht="15.75" thickBot="1" x14ac:dyDescent="0.3">
      <c r="E871" s="17"/>
    </row>
    <row r="872" spans="5:5" ht="15.75" thickBot="1" x14ac:dyDescent="0.3">
      <c r="E872" s="17"/>
    </row>
    <row r="873" spans="5:5" ht="15.75" thickBot="1" x14ac:dyDescent="0.3">
      <c r="E873" s="17"/>
    </row>
    <row r="874" spans="5:5" ht="15.75" thickBot="1" x14ac:dyDescent="0.3">
      <c r="E874" s="17"/>
    </row>
    <row r="875" spans="5:5" ht="15.75" thickBot="1" x14ac:dyDescent="0.3">
      <c r="E875" s="17"/>
    </row>
    <row r="876" spans="5:5" ht="15.75" thickBot="1" x14ac:dyDescent="0.3">
      <c r="E876" s="17"/>
    </row>
    <row r="877" spans="5:5" ht="15.75" thickBot="1" x14ac:dyDescent="0.3">
      <c r="E877" s="17"/>
    </row>
    <row r="878" spans="5:5" ht="15.75" thickBot="1" x14ac:dyDescent="0.3">
      <c r="E878" s="17"/>
    </row>
    <row r="879" spans="5:5" ht="15.75" thickBot="1" x14ac:dyDescent="0.3">
      <c r="E879" s="17"/>
    </row>
    <row r="880" spans="5:5" ht="15.75" thickBot="1" x14ac:dyDescent="0.3">
      <c r="E880" s="17"/>
    </row>
    <row r="881" spans="5:5" ht="15.75" thickBot="1" x14ac:dyDescent="0.3">
      <c r="E881" s="17"/>
    </row>
    <row r="882" spans="5:5" ht="15.75" thickBot="1" x14ac:dyDescent="0.3">
      <c r="E882" s="17"/>
    </row>
    <row r="883" spans="5:5" ht="15.75" thickBot="1" x14ac:dyDescent="0.3">
      <c r="E883" s="17"/>
    </row>
    <row r="884" spans="5:5" ht="15.75" thickBot="1" x14ac:dyDescent="0.3">
      <c r="E884" s="17"/>
    </row>
    <row r="885" spans="5:5" ht="15.75" thickBot="1" x14ac:dyDescent="0.3">
      <c r="E885" s="17"/>
    </row>
    <row r="886" spans="5:5" ht="15.75" thickBot="1" x14ac:dyDescent="0.3">
      <c r="E886" s="17"/>
    </row>
    <row r="887" spans="5:5" ht="15.75" thickBot="1" x14ac:dyDescent="0.3">
      <c r="E887" s="17"/>
    </row>
    <row r="888" spans="5:5" ht="15.75" thickBot="1" x14ac:dyDescent="0.3">
      <c r="E888" s="17"/>
    </row>
    <row r="889" spans="5:5" ht="15.75" thickBot="1" x14ac:dyDescent="0.3">
      <c r="E889" s="17"/>
    </row>
    <row r="890" spans="5:5" ht="15.75" thickBot="1" x14ac:dyDescent="0.3">
      <c r="E890" s="17"/>
    </row>
    <row r="891" spans="5:5" ht="15.75" thickBot="1" x14ac:dyDescent="0.3">
      <c r="E891" s="17"/>
    </row>
    <row r="892" spans="5:5" ht="15.75" thickBot="1" x14ac:dyDescent="0.3">
      <c r="E892" s="17"/>
    </row>
    <row r="893" spans="5:5" ht="15.75" thickBot="1" x14ac:dyDescent="0.3">
      <c r="E893" s="17"/>
    </row>
    <row r="894" spans="5:5" ht="15.75" thickBot="1" x14ac:dyDescent="0.3">
      <c r="E894" s="17"/>
    </row>
    <row r="895" spans="5:5" ht="15.75" thickBot="1" x14ac:dyDescent="0.3">
      <c r="E895" s="17"/>
    </row>
    <row r="896" spans="5:5" ht="15.75" thickBot="1" x14ac:dyDescent="0.3">
      <c r="E896" s="17"/>
    </row>
    <row r="897" spans="5:5" ht="15.75" thickBot="1" x14ac:dyDescent="0.3">
      <c r="E897" s="17"/>
    </row>
    <row r="898" spans="5:5" ht="15.75" thickBot="1" x14ac:dyDescent="0.3">
      <c r="E898" s="17"/>
    </row>
    <row r="899" spans="5:5" ht="15.75" thickBot="1" x14ac:dyDescent="0.3">
      <c r="E899" s="17"/>
    </row>
    <row r="900" spans="5:5" ht="15.75" thickBot="1" x14ac:dyDescent="0.3">
      <c r="E900" s="17"/>
    </row>
    <row r="901" spans="5:5" ht="15.75" thickBot="1" x14ac:dyDescent="0.3">
      <c r="E901" s="17"/>
    </row>
    <row r="902" spans="5:5" ht="15.75" thickBot="1" x14ac:dyDescent="0.3">
      <c r="E902" s="17"/>
    </row>
    <row r="903" spans="5:5" ht="15.75" thickBot="1" x14ac:dyDescent="0.3">
      <c r="E903" s="17"/>
    </row>
    <row r="904" spans="5:5" ht="15.75" thickBot="1" x14ac:dyDescent="0.3">
      <c r="E904" s="17"/>
    </row>
    <row r="905" spans="5:5" ht="15.75" thickBot="1" x14ac:dyDescent="0.3">
      <c r="E905" s="17"/>
    </row>
    <row r="906" spans="5:5" ht="15.75" thickBot="1" x14ac:dyDescent="0.3">
      <c r="E906" s="17"/>
    </row>
    <row r="907" spans="5:5" ht="15.75" thickBot="1" x14ac:dyDescent="0.3">
      <c r="E907" s="17"/>
    </row>
    <row r="908" spans="5:5" ht="15.75" thickBot="1" x14ac:dyDescent="0.3">
      <c r="E908" s="17"/>
    </row>
    <row r="909" spans="5:5" ht="15.75" thickBot="1" x14ac:dyDescent="0.3">
      <c r="E909" s="17"/>
    </row>
    <row r="910" spans="5:5" ht="15.75" thickBot="1" x14ac:dyDescent="0.3">
      <c r="E910" s="17"/>
    </row>
    <row r="911" spans="5:5" ht="15.75" thickBot="1" x14ac:dyDescent="0.3">
      <c r="E911" s="17"/>
    </row>
    <row r="912" spans="5:5" ht="15.75" thickBot="1" x14ac:dyDescent="0.3">
      <c r="E912" s="17"/>
    </row>
    <row r="913" spans="5:5" ht="15.75" thickBot="1" x14ac:dyDescent="0.3">
      <c r="E913" s="17"/>
    </row>
    <row r="914" spans="5:5" ht="15.75" thickBot="1" x14ac:dyDescent="0.3">
      <c r="E914" s="17"/>
    </row>
    <row r="915" spans="5:5" ht="15.75" thickBot="1" x14ac:dyDescent="0.3">
      <c r="E915" s="17"/>
    </row>
    <row r="916" spans="5:5" ht="15.75" thickBot="1" x14ac:dyDescent="0.3">
      <c r="E916" s="17"/>
    </row>
    <row r="917" spans="5:5" ht="15.75" thickBot="1" x14ac:dyDescent="0.3">
      <c r="E917" s="17"/>
    </row>
    <row r="918" spans="5:5" ht="15.75" thickBot="1" x14ac:dyDescent="0.3">
      <c r="E918" s="17"/>
    </row>
    <row r="919" spans="5:5" ht="15.75" thickBot="1" x14ac:dyDescent="0.3">
      <c r="E919" s="17"/>
    </row>
    <row r="920" spans="5:5" ht="15.75" thickBot="1" x14ac:dyDescent="0.3">
      <c r="E920" s="17"/>
    </row>
    <row r="921" spans="5:5" ht="15.75" thickBot="1" x14ac:dyDescent="0.3">
      <c r="E921" s="17"/>
    </row>
    <row r="922" spans="5:5" ht="15.75" thickBot="1" x14ac:dyDescent="0.3">
      <c r="E922" s="17"/>
    </row>
    <row r="923" spans="5:5" ht="15.75" thickBot="1" x14ac:dyDescent="0.3">
      <c r="E923" s="17"/>
    </row>
    <row r="924" spans="5:5" ht="15.75" thickBot="1" x14ac:dyDescent="0.3">
      <c r="E924" s="17"/>
    </row>
    <row r="925" spans="5:5" ht="15.75" thickBot="1" x14ac:dyDescent="0.3">
      <c r="E925" s="17"/>
    </row>
    <row r="926" spans="5:5" ht="15.75" thickBot="1" x14ac:dyDescent="0.3">
      <c r="E926" s="17"/>
    </row>
    <row r="927" spans="5:5" ht="15.75" thickBot="1" x14ac:dyDescent="0.3">
      <c r="E927" s="17"/>
    </row>
    <row r="928" spans="5:5" ht="15.75" thickBot="1" x14ac:dyDescent="0.3">
      <c r="E928" s="17"/>
    </row>
    <row r="929" spans="5:5" ht="15.75" thickBot="1" x14ac:dyDescent="0.3">
      <c r="E929" s="17"/>
    </row>
    <row r="930" spans="5:5" ht="15.75" thickBot="1" x14ac:dyDescent="0.3">
      <c r="E930" s="17"/>
    </row>
    <row r="931" spans="5:5" ht="15.75" thickBot="1" x14ac:dyDescent="0.3">
      <c r="E931" s="17"/>
    </row>
    <row r="932" spans="5:5" ht="15.75" thickBot="1" x14ac:dyDescent="0.3">
      <c r="E932" s="17"/>
    </row>
    <row r="933" spans="5:5" ht="15.75" thickBot="1" x14ac:dyDescent="0.3">
      <c r="E933" s="17"/>
    </row>
    <row r="934" spans="5:5" ht="15.75" thickBot="1" x14ac:dyDescent="0.3">
      <c r="E934" s="17"/>
    </row>
    <row r="935" spans="5:5" ht="15.75" thickBot="1" x14ac:dyDescent="0.3">
      <c r="E935" s="17"/>
    </row>
    <row r="936" spans="5:5" ht="15.75" thickBot="1" x14ac:dyDescent="0.3">
      <c r="E936" s="17"/>
    </row>
    <row r="937" spans="5:5" ht="15.75" thickBot="1" x14ac:dyDescent="0.3">
      <c r="E937" s="17"/>
    </row>
    <row r="938" spans="5:5" ht="15.75" thickBot="1" x14ac:dyDescent="0.3">
      <c r="E938" s="17"/>
    </row>
    <row r="939" spans="5:5" ht="15.75" thickBot="1" x14ac:dyDescent="0.3">
      <c r="E939" s="17"/>
    </row>
    <row r="940" spans="5:5" ht="15.75" thickBot="1" x14ac:dyDescent="0.3">
      <c r="E940" s="17"/>
    </row>
    <row r="941" spans="5:5" ht="15.75" thickBot="1" x14ac:dyDescent="0.3">
      <c r="E941" s="17"/>
    </row>
    <row r="942" spans="5:5" ht="15.75" thickBot="1" x14ac:dyDescent="0.3">
      <c r="E942" s="17"/>
    </row>
    <row r="943" spans="5:5" ht="15.75" thickBot="1" x14ac:dyDescent="0.3">
      <c r="E943" s="17"/>
    </row>
    <row r="944" spans="5:5" ht="15.75" thickBot="1" x14ac:dyDescent="0.3">
      <c r="E944" s="17"/>
    </row>
    <row r="945" spans="5:5" ht="15.75" thickBot="1" x14ac:dyDescent="0.3">
      <c r="E945" s="17"/>
    </row>
    <row r="946" spans="5:5" ht="15.75" thickBot="1" x14ac:dyDescent="0.3">
      <c r="E946" s="17"/>
    </row>
    <row r="947" spans="5:5" ht="15.75" thickBot="1" x14ac:dyDescent="0.3">
      <c r="E947" s="17"/>
    </row>
    <row r="948" spans="5:5" ht="15.75" thickBot="1" x14ac:dyDescent="0.3">
      <c r="E948" s="17"/>
    </row>
    <row r="949" spans="5:5" ht="15.75" thickBot="1" x14ac:dyDescent="0.3">
      <c r="E949" s="17"/>
    </row>
    <row r="950" spans="5:5" ht="15.75" thickBot="1" x14ac:dyDescent="0.3">
      <c r="E950" s="17"/>
    </row>
    <row r="951" spans="5:5" ht="15.75" thickBot="1" x14ac:dyDescent="0.3">
      <c r="E951" s="17"/>
    </row>
    <row r="952" spans="5:5" ht="15.75" thickBot="1" x14ac:dyDescent="0.3">
      <c r="E952" s="17"/>
    </row>
    <row r="953" spans="5:5" ht="15.75" thickBot="1" x14ac:dyDescent="0.3">
      <c r="E953" s="17"/>
    </row>
    <row r="954" spans="5:5" ht="15.75" thickBot="1" x14ac:dyDescent="0.3">
      <c r="E954" s="17"/>
    </row>
    <row r="955" spans="5:5" ht="15.75" thickBot="1" x14ac:dyDescent="0.3">
      <c r="E955" s="17"/>
    </row>
    <row r="956" spans="5:5" ht="15.75" thickBot="1" x14ac:dyDescent="0.3">
      <c r="E956" s="17"/>
    </row>
    <row r="957" spans="5:5" ht="15.75" thickBot="1" x14ac:dyDescent="0.3">
      <c r="E957" s="17"/>
    </row>
    <row r="958" spans="5:5" ht="15.75" thickBot="1" x14ac:dyDescent="0.3">
      <c r="E958" s="17"/>
    </row>
    <row r="959" spans="5:5" ht="15.75" thickBot="1" x14ac:dyDescent="0.3">
      <c r="E959" s="17"/>
    </row>
    <row r="960" spans="5:5" ht="15.75" thickBot="1" x14ac:dyDescent="0.3">
      <c r="E960" s="17"/>
    </row>
    <row r="961" spans="5:5" ht="15.75" thickBot="1" x14ac:dyDescent="0.3">
      <c r="E961" s="17"/>
    </row>
    <row r="962" spans="5:5" ht="15.75" thickBot="1" x14ac:dyDescent="0.3">
      <c r="E962" s="17"/>
    </row>
    <row r="963" spans="5:5" ht="15.75" thickBot="1" x14ac:dyDescent="0.3">
      <c r="E963" s="17"/>
    </row>
    <row r="964" spans="5:5" ht="15.75" thickBot="1" x14ac:dyDescent="0.3">
      <c r="E964" s="17"/>
    </row>
    <row r="965" spans="5:5" ht="15.75" thickBot="1" x14ac:dyDescent="0.3">
      <c r="E965" s="17"/>
    </row>
    <row r="966" spans="5:5" ht="15.75" thickBot="1" x14ac:dyDescent="0.3">
      <c r="E966" s="17"/>
    </row>
    <row r="967" spans="5:5" ht="15.75" thickBot="1" x14ac:dyDescent="0.3">
      <c r="E967" s="17"/>
    </row>
    <row r="968" spans="5:5" ht="15.75" thickBot="1" x14ac:dyDescent="0.3">
      <c r="E968" s="17"/>
    </row>
    <row r="969" spans="5:5" ht="15.75" thickBot="1" x14ac:dyDescent="0.3">
      <c r="E969" s="17"/>
    </row>
    <row r="970" spans="5:5" ht="15.75" thickBot="1" x14ac:dyDescent="0.3">
      <c r="E970" s="17"/>
    </row>
    <row r="971" spans="5:5" ht="15.75" thickBot="1" x14ac:dyDescent="0.3">
      <c r="E971" s="17"/>
    </row>
    <row r="972" spans="5:5" ht="15.75" thickBot="1" x14ac:dyDescent="0.3">
      <c r="E972" s="17"/>
    </row>
    <row r="973" spans="5:5" ht="15.75" thickBot="1" x14ac:dyDescent="0.3">
      <c r="E973" s="17"/>
    </row>
    <row r="974" spans="5:5" ht="15.75" thickBot="1" x14ac:dyDescent="0.3">
      <c r="E974" s="17"/>
    </row>
    <row r="975" spans="5:5" ht="15.75" thickBot="1" x14ac:dyDescent="0.3">
      <c r="E975" s="17"/>
    </row>
    <row r="976" spans="5:5" ht="15.75" thickBot="1" x14ac:dyDescent="0.3">
      <c r="E976" s="17"/>
    </row>
    <row r="977" spans="5:5" ht="15.75" thickBot="1" x14ac:dyDescent="0.3">
      <c r="E977" s="17"/>
    </row>
    <row r="978" spans="5:5" ht="15.75" thickBot="1" x14ac:dyDescent="0.3">
      <c r="E978" s="17"/>
    </row>
    <row r="979" spans="5:5" ht="15.75" thickBot="1" x14ac:dyDescent="0.3">
      <c r="E979" s="17"/>
    </row>
    <row r="980" spans="5:5" ht="15.75" thickBot="1" x14ac:dyDescent="0.3">
      <c r="E980" s="17"/>
    </row>
    <row r="981" spans="5:5" ht="15.75" thickBot="1" x14ac:dyDescent="0.3">
      <c r="E981" s="17"/>
    </row>
    <row r="982" spans="5:5" ht="15.75" thickBot="1" x14ac:dyDescent="0.3">
      <c r="E982" s="17"/>
    </row>
    <row r="983" spans="5:5" ht="15.75" thickBot="1" x14ac:dyDescent="0.3">
      <c r="E983" s="17"/>
    </row>
    <row r="984" spans="5:5" ht="15.75" thickBot="1" x14ac:dyDescent="0.3">
      <c r="E984" s="17"/>
    </row>
    <row r="985" spans="5:5" ht="15.75" thickBot="1" x14ac:dyDescent="0.3">
      <c r="E985" s="17"/>
    </row>
    <row r="986" spans="5:5" ht="15.75" thickBot="1" x14ac:dyDescent="0.3">
      <c r="E986" s="17"/>
    </row>
    <row r="987" spans="5:5" ht="15.75" thickBot="1" x14ac:dyDescent="0.3">
      <c r="E987" s="17"/>
    </row>
    <row r="988" spans="5:5" ht="15.75" thickBot="1" x14ac:dyDescent="0.3">
      <c r="E988" s="17"/>
    </row>
    <row r="989" spans="5:5" ht="15.75" thickBot="1" x14ac:dyDescent="0.3">
      <c r="E989" s="17"/>
    </row>
    <row r="990" spans="5:5" ht="15.75" thickBot="1" x14ac:dyDescent="0.3">
      <c r="E990" s="17"/>
    </row>
    <row r="991" spans="5:5" ht="15.75" thickBot="1" x14ac:dyDescent="0.3">
      <c r="E991" s="17"/>
    </row>
    <row r="992" spans="5:5" ht="15.75" thickBot="1" x14ac:dyDescent="0.3">
      <c r="E992" s="17"/>
    </row>
    <row r="993" spans="5:5" ht="15.75" thickBot="1" x14ac:dyDescent="0.3">
      <c r="E993" s="17"/>
    </row>
    <row r="994" spans="5:5" ht="15.75" thickBot="1" x14ac:dyDescent="0.3">
      <c r="E994" s="17"/>
    </row>
    <row r="995" spans="5:5" ht="15.75" thickBot="1" x14ac:dyDescent="0.3">
      <c r="E995" s="17"/>
    </row>
    <row r="996" spans="5:5" ht="15.75" thickBot="1" x14ac:dyDescent="0.3">
      <c r="E996" s="17"/>
    </row>
    <row r="997" spans="5:5" ht="15.75" thickBot="1" x14ac:dyDescent="0.3">
      <c r="E997" s="17"/>
    </row>
    <row r="998" spans="5:5" ht="15.75" thickBot="1" x14ac:dyDescent="0.3">
      <c r="E998" s="17"/>
    </row>
    <row r="999" spans="5:5" ht="15.75" thickBot="1" x14ac:dyDescent="0.3">
      <c r="E999" s="17"/>
    </row>
    <row r="1000" spans="5:5" ht="15.75" thickBot="1" x14ac:dyDescent="0.3">
      <c r="E1000" s="17"/>
    </row>
  </sheetData>
  <sortState xmlns:xlrd2="http://schemas.microsoft.com/office/spreadsheetml/2017/richdata2" ref="A2:E1000">
    <sortCondition ref="A2:A100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Comparaciones</vt:lpstr>
      <vt:lpstr>Orden_preguntas</vt:lpstr>
      <vt:lpstr>qwen25_3b</vt:lpstr>
      <vt:lpstr>gemma_7b</vt:lpstr>
      <vt:lpstr>llama31_8b</vt:lpstr>
      <vt:lpstr>mistral_7b</vt:lpstr>
      <vt:lpstr>llama33_70b</vt:lpstr>
      <vt:lpstr>qwen3_coder_35b_480b</vt:lpstr>
      <vt:lpstr>deepseek_r1t2_chimera_671b</vt:lpstr>
      <vt:lpstr>deepseek_R1_8b</vt:lpstr>
      <vt:lpstr>Xiaomi_mimoV2_flash_15b_309b</vt:lpstr>
      <vt:lpstr>Mistral_devstral2_123b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carrillo gelvez</dc:creator>
  <cp:lastModifiedBy>gabriela carrillo gelvez</cp:lastModifiedBy>
  <dcterms:created xsi:type="dcterms:W3CDTF">2026-01-12T12:55:49Z</dcterms:created>
  <dcterms:modified xsi:type="dcterms:W3CDTF">2026-01-13T01:30:01Z</dcterms:modified>
</cp:coreProperties>
</file>